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https://ltimindtree-my.sharepoint.com/personal/yeshwanth_10840028_ltimindtree_com/Documents/Desktop/RR/"/>
    </mc:Choice>
  </mc:AlternateContent>
  <xr:revisionPtr revIDLastSave="0" documentId="8_{53057AB5-DFB2-4AAA-9416-4F80A9BABB93}" xr6:coauthVersionLast="47" xr6:coauthVersionMax="47" xr10:uidLastSave="{00000000-0000-0000-0000-000000000000}"/>
  <bookViews>
    <workbookView xWindow="-110" yWindow="-110" windowWidth="19420" windowHeight="10300" xr2:uid="{00000000-000D-0000-FFFF-FFFF00000000}"/>
  </bookViews>
  <sheets>
    <sheet name="Audit Report" sheetId="8" r:id="rId1"/>
    <sheet name="pampers-fr_fr" sheetId="1" r:id="rId2"/>
    <sheet name="pampers-en_gb" sheetId="2" r:id="rId3"/>
    <sheet name="pampers-en_us" sheetId="3" r:id="rId4"/>
    <sheet name="pgdodotspain" sheetId="7" r:id="rId5"/>
    <sheet name="pampers-ja_jp" sheetId="4" r:id="rId6"/>
    <sheet name="pampers-de_de" sheetId="5" r:id="rId7"/>
    <sheet name="pampers-es" sheetId="6" r:id="rId8"/>
  </sheets>
  <definedNames>
    <definedName name="_xlnm._FilterDatabase" localSheetId="0" hidden="1">'Audit Report'!$A$76:$N$306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8" i="8" l="1" a="1"/>
  <c r="G338" i="8" s="1"/>
  <c r="C338" i="8" a="1"/>
  <c r="D338" i="8" a="1"/>
  <c r="E338" i="8" a="1"/>
  <c r="F338" i="8" a="1"/>
  <c r="B339" i="8" a="1"/>
  <c r="C339" i="8" a="1"/>
  <c r="D339" i="8" a="1"/>
  <c r="G339" i="8" s="1"/>
  <c r="E339" i="8" a="1"/>
  <c r="F339" i="8" a="1"/>
  <c r="B340" i="8" a="1"/>
  <c r="G340" i="8" s="1"/>
  <c r="C340" i="8" a="1"/>
  <c r="D340" i="8" a="1"/>
  <c r="E340" i="8" a="1"/>
  <c r="F340" i="8" a="1"/>
  <c r="B341" i="8" a="1"/>
  <c r="G341" i="8" s="1"/>
  <c r="C341" i="8" a="1"/>
  <c r="D341" i="8" a="1"/>
  <c r="E341" i="8" a="1"/>
  <c r="F341" i="8" a="1"/>
  <c r="B342" i="8" a="1"/>
  <c r="G342" i="8" s="1"/>
  <c r="C342" i="8" a="1"/>
  <c r="D342" i="8" a="1"/>
  <c r="E342" i="8" a="1"/>
  <c r="F342" i="8" a="1"/>
  <c r="B343" i="8" a="1"/>
  <c r="C343" i="8" a="1"/>
  <c r="D343" i="8" a="1"/>
  <c r="G343" i="8" s="1"/>
  <c r="E343" i="8" a="1"/>
  <c r="F343" i="8" a="1"/>
  <c r="B344" i="8" a="1"/>
  <c r="C344" i="8" a="1"/>
  <c r="C345" i="8" s="1"/>
  <c r="D344" i="8" a="1"/>
  <c r="D345" i="8" s="1"/>
  <c r="E344" i="8" a="1"/>
  <c r="E345" i="8" s="1"/>
  <c r="F344" i="8" a="1"/>
  <c r="F345" i="8" s="1"/>
  <c r="I345" i="8"/>
  <c r="B213" i="8"/>
  <c r="C213" i="8"/>
  <c r="D213" i="8"/>
  <c r="E213" i="8"/>
  <c r="F213" i="8"/>
  <c r="G213" i="8"/>
  <c r="B214" i="8"/>
  <c r="C214" i="8"/>
  <c r="D214" i="8"/>
  <c r="E214" i="8"/>
  <c r="F214" i="8"/>
  <c r="G214" i="8"/>
  <c r="B215" i="8"/>
  <c r="C215" i="8"/>
  <c r="D215" i="8"/>
  <c r="E215" i="8"/>
  <c r="F215" i="8"/>
  <c r="G215" i="8"/>
  <c r="B216" i="8"/>
  <c r="C216" i="8"/>
  <c r="D216" i="8"/>
  <c r="E216" i="8"/>
  <c r="F216" i="8"/>
  <c r="G216" i="8"/>
  <c r="B217" i="8"/>
  <c r="C217" i="8"/>
  <c r="D217" i="8"/>
  <c r="E217" i="8"/>
  <c r="F217" i="8"/>
  <c r="G217" i="8"/>
  <c r="B218" i="8"/>
  <c r="C218" i="8"/>
  <c r="D218" i="8"/>
  <c r="E218" i="8"/>
  <c r="F218" i="8"/>
  <c r="G218" i="8"/>
  <c r="B219" i="8"/>
  <c r="C219" i="8"/>
  <c r="D219" i="8"/>
  <c r="E219" i="8"/>
  <c r="F219" i="8"/>
  <c r="G219" i="8"/>
  <c r="B220" i="8"/>
  <c r="C220" i="8"/>
  <c r="D220" i="8"/>
  <c r="E220" i="8"/>
  <c r="F220" i="8"/>
  <c r="G220" i="8"/>
  <c r="B221" i="8"/>
  <c r="C221" i="8"/>
  <c r="D221" i="8"/>
  <c r="E221" i="8"/>
  <c r="F221" i="8"/>
  <c r="G221" i="8"/>
  <c r="B222" i="8"/>
  <c r="C222" i="8"/>
  <c r="D222" i="8"/>
  <c r="E222" i="8"/>
  <c r="F222" i="8"/>
  <c r="G222" i="8"/>
  <c r="B223" i="8"/>
  <c r="C223" i="8"/>
  <c r="D223" i="8"/>
  <c r="E223" i="8"/>
  <c r="F223" i="8"/>
  <c r="G223" i="8"/>
  <c r="B224" i="8"/>
  <c r="C224" i="8"/>
  <c r="D224" i="8"/>
  <c r="E224" i="8"/>
  <c r="F224" i="8"/>
  <c r="G224" i="8"/>
  <c r="B225" i="8"/>
  <c r="C225" i="8"/>
  <c r="D225" i="8"/>
  <c r="E225" i="8"/>
  <c r="F225" i="8"/>
  <c r="G225" i="8"/>
  <c r="B226" i="8"/>
  <c r="C226" i="8"/>
  <c r="D226" i="8"/>
  <c r="E226" i="8"/>
  <c r="F226" i="8"/>
  <c r="G226" i="8"/>
  <c r="B227" i="8"/>
  <c r="C227" i="8"/>
  <c r="D227" i="8"/>
  <c r="E227" i="8"/>
  <c r="F227" i="8"/>
  <c r="G227" i="8"/>
  <c r="B228" i="8"/>
  <c r="C228" i="8"/>
  <c r="D228" i="8"/>
  <c r="E228" i="8"/>
  <c r="F228" i="8"/>
  <c r="G228" i="8"/>
  <c r="B229" i="8"/>
  <c r="C229" i="8"/>
  <c r="D229" i="8"/>
  <c r="E229" i="8"/>
  <c r="F229" i="8"/>
  <c r="G229" i="8"/>
  <c r="B230" i="8"/>
  <c r="C230" i="8"/>
  <c r="D230" i="8"/>
  <c r="E230" i="8"/>
  <c r="F230" i="8"/>
  <c r="G230" i="8"/>
  <c r="B231" i="8"/>
  <c r="C231" i="8"/>
  <c r="D231" i="8"/>
  <c r="E231" i="8"/>
  <c r="F231" i="8"/>
  <c r="G231" i="8"/>
  <c r="B232" i="8"/>
  <c r="C232" i="8"/>
  <c r="D232" i="8"/>
  <c r="E232" i="8"/>
  <c r="F232" i="8"/>
  <c r="G232" i="8"/>
  <c r="B233" i="8"/>
  <c r="C233" i="8"/>
  <c r="D233" i="8"/>
  <c r="E233" i="8"/>
  <c r="F233" i="8"/>
  <c r="G233" i="8"/>
  <c r="B234" i="8"/>
  <c r="C234" i="8"/>
  <c r="D234" i="8"/>
  <c r="E234" i="8"/>
  <c r="F234" i="8"/>
  <c r="G234" i="8"/>
  <c r="B235" i="8"/>
  <c r="C235" i="8"/>
  <c r="D235" i="8"/>
  <c r="E235" i="8"/>
  <c r="F235" i="8"/>
  <c r="G235" i="8"/>
  <c r="B236" i="8"/>
  <c r="C236" i="8"/>
  <c r="D236" i="8"/>
  <c r="E236" i="8"/>
  <c r="F236" i="8"/>
  <c r="G236" i="8"/>
  <c r="B237" i="8"/>
  <c r="C237" i="8"/>
  <c r="D237" i="8"/>
  <c r="E237" i="8"/>
  <c r="F237" i="8"/>
  <c r="G237" i="8"/>
  <c r="B238" i="8"/>
  <c r="C238" i="8"/>
  <c r="D238" i="8"/>
  <c r="E238" i="8"/>
  <c r="F238" i="8"/>
  <c r="G238" i="8"/>
  <c r="B239" i="8"/>
  <c r="C239" i="8"/>
  <c r="D239" i="8"/>
  <c r="E239" i="8"/>
  <c r="F239" i="8"/>
  <c r="G239" i="8"/>
  <c r="B240" i="8"/>
  <c r="C240" i="8"/>
  <c r="D240" i="8"/>
  <c r="E240" i="8"/>
  <c r="F240" i="8"/>
  <c r="G240" i="8"/>
  <c r="B241" i="8"/>
  <c r="C241" i="8"/>
  <c r="D241" i="8"/>
  <c r="E241" i="8"/>
  <c r="F241" i="8"/>
  <c r="G241" i="8"/>
  <c r="B242" i="8"/>
  <c r="C242" i="8"/>
  <c r="D242" i="8"/>
  <c r="E242" i="8"/>
  <c r="F242" i="8"/>
  <c r="G242" i="8"/>
  <c r="B243" i="8"/>
  <c r="C243" i="8"/>
  <c r="D243" i="8"/>
  <c r="E243" i="8"/>
  <c r="F243" i="8"/>
  <c r="G243" i="8"/>
  <c r="B244" i="8"/>
  <c r="C244" i="8"/>
  <c r="D244" i="8"/>
  <c r="E244" i="8"/>
  <c r="F244" i="8"/>
  <c r="G244" i="8"/>
  <c r="B245" i="8"/>
  <c r="C245" i="8"/>
  <c r="D245" i="8"/>
  <c r="E245" i="8"/>
  <c r="F245" i="8"/>
  <c r="G245" i="8"/>
  <c r="B246" i="8"/>
  <c r="C246" i="8"/>
  <c r="D246" i="8"/>
  <c r="E246" i="8"/>
  <c r="F246" i="8"/>
  <c r="G246" i="8"/>
  <c r="B247" i="8"/>
  <c r="C247" i="8"/>
  <c r="D247" i="8"/>
  <c r="E247" i="8"/>
  <c r="F247" i="8"/>
  <c r="G247" i="8"/>
  <c r="B248" i="8"/>
  <c r="C248" i="8"/>
  <c r="D248" i="8"/>
  <c r="E248" i="8"/>
  <c r="F248" i="8"/>
  <c r="G248" i="8"/>
  <c r="B249" i="8"/>
  <c r="C249" i="8"/>
  <c r="D249" i="8"/>
  <c r="E249" i="8"/>
  <c r="F249" i="8"/>
  <c r="G249" i="8"/>
  <c r="B250" i="8"/>
  <c r="C250" i="8"/>
  <c r="D250" i="8"/>
  <c r="E250" i="8"/>
  <c r="F250" i="8"/>
  <c r="G250" i="8"/>
  <c r="B251" i="8"/>
  <c r="C251" i="8"/>
  <c r="D251" i="8"/>
  <c r="E251" i="8"/>
  <c r="F251" i="8"/>
  <c r="G251" i="8"/>
  <c r="B252" i="8"/>
  <c r="C252" i="8"/>
  <c r="D252" i="8"/>
  <c r="E252" i="8"/>
  <c r="F252" i="8"/>
  <c r="G252" i="8"/>
  <c r="B253" i="8"/>
  <c r="C253" i="8"/>
  <c r="D253" i="8"/>
  <c r="E253" i="8"/>
  <c r="F253" i="8"/>
  <c r="G253" i="8"/>
  <c r="B254" i="8"/>
  <c r="C254" i="8"/>
  <c r="D254" i="8"/>
  <c r="E254" i="8"/>
  <c r="F254" i="8"/>
  <c r="G254" i="8"/>
  <c r="B255" i="8"/>
  <c r="C255" i="8"/>
  <c r="D255" i="8"/>
  <c r="E255" i="8"/>
  <c r="F255" i="8"/>
  <c r="G255" i="8"/>
  <c r="B256" i="8"/>
  <c r="C256" i="8"/>
  <c r="D256" i="8"/>
  <c r="E256" i="8"/>
  <c r="F256" i="8"/>
  <c r="G256" i="8"/>
  <c r="B257" i="8"/>
  <c r="C257" i="8"/>
  <c r="D257" i="8"/>
  <c r="E257" i="8"/>
  <c r="F257" i="8"/>
  <c r="G257" i="8"/>
  <c r="B258" i="8"/>
  <c r="C258" i="8"/>
  <c r="D258" i="8"/>
  <c r="E258" i="8"/>
  <c r="F258" i="8"/>
  <c r="G258" i="8"/>
  <c r="B259" i="8"/>
  <c r="C259" i="8"/>
  <c r="D259" i="8"/>
  <c r="E259" i="8"/>
  <c r="F259" i="8"/>
  <c r="G259" i="8"/>
  <c r="B260" i="8"/>
  <c r="C260" i="8"/>
  <c r="D260" i="8"/>
  <c r="E260" i="8"/>
  <c r="F260" i="8"/>
  <c r="G260" i="8"/>
  <c r="B261" i="8"/>
  <c r="C261" i="8"/>
  <c r="D261" i="8"/>
  <c r="E261" i="8"/>
  <c r="F261" i="8"/>
  <c r="G261" i="8"/>
  <c r="B262" i="8"/>
  <c r="C262" i="8"/>
  <c r="D262" i="8"/>
  <c r="E262" i="8"/>
  <c r="F262" i="8"/>
  <c r="G262" i="8"/>
  <c r="B263" i="8"/>
  <c r="C263" i="8"/>
  <c r="D263" i="8"/>
  <c r="E263" i="8"/>
  <c r="F263" i="8"/>
  <c r="G263" i="8"/>
  <c r="B264" i="8"/>
  <c r="C264" i="8"/>
  <c r="D264" i="8"/>
  <c r="E264" i="8"/>
  <c r="F264" i="8"/>
  <c r="G264" i="8"/>
  <c r="B265" i="8"/>
  <c r="C265" i="8"/>
  <c r="D265" i="8"/>
  <c r="E265" i="8"/>
  <c r="F265" i="8"/>
  <c r="G265" i="8"/>
  <c r="B266" i="8"/>
  <c r="C266" i="8"/>
  <c r="D266" i="8"/>
  <c r="E266" i="8"/>
  <c r="F266" i="8"/>
  <c r="G266" i="8"/>
  <c r="B267" i="8"/>
  <c r="C267" i="8"/>
  <c r="D267" i="8"/>
  <c r="E267" i="8"/>
  <c r="F267" i="8"/>
  <c r="G267" i="8"/>
  <c r="B268" i="8"/>
  <c r="C268" i="8"/>
  <c r="D268" i="8"/>
  <c r="E268" i="8"/>
  <c r="F268" i="8"/>
  <c r="G268" i="8"/>
  <c r="B269" i="8"/>
  <c r="C269" i="8"/>
  <c r="D269" i="8"/>
  <c r="E269" i="8"/>
  <c r="F269" i="8"/>
  <c r="G269" i="8"/>
  <c r="B270" i="8"/>
  <c r="C270" i="8"/>
  <c r="D270" i="8"/>
  <c r="E270" i="8"/>
  <c r="F270" i="8"/>
  <c r="G270" i="8"/>
  <c r="B271" i="8"/>
  <c r="C271" i="8"/>
  <c r="D271" i="8"/>
  <c r="E271" i="8"/>
  <c r="F271" i="8"/>
  <c r="G271" i="8"/>
  <c r="B272" i="8"/>
  <c r="C272" i="8"/>
  <c r="D272" i="8"/>
  <c r="E272" i="8"/>
  <c r="F272" i="8"/>
  <c r="G272" i="8"/>
  <c r="B273" i="8"/>
  <c r="C273" i="8"/>
  <c r="D273" i="8"/>
  <c r="E273" i="8"/>
  <c r="F273" i="8"/>
  <c r="G273" i="8"/>
  <c r="B274" i="8"/>
  <c r="C274" i="8"/>
  <c r="D274" i="8"/>
  <c r="E274" i="8"/>
  <c r="F274" i="8"/>
  <c r="G274" i="8"/>
  <c r="B275" i="8"/>
  <c r="C275" i="8"/>
  <c r="D275" i="8"/>
  <c r="E275" i="8"/>
  <c r="F275" i="8"/>
  <c r="G275" i="8"/>
  <c r="B276" i="8"/>
  <c r="C276" i="8"/>
  <c r="D276" i="8"/>
  <c r="E276" i="8"/>
  <c r="F276" i="8"/>
  <c r="G276" i="8"/>
  <c r="B277" i="8"/>
  <c r="C277" i="8"/>
  <c r="D277" i="8"/>
  <c r="E277" i="8"/>
  <c r="F277" i="8"/>
  <c r="G277" i="8"/>
  <c r="B278" i="8"/>
  <c r="C278" i="8"/>
  <c r="D278" i="8"/>
  <c r="E278" i="8"/>
  <c r="F278" i="8"/>
  <c r="G278" i="8"/>
  <c r="B279" i="8"/>
  <c r="C279" i="8"/>
  <c r="D279" i="8"/>
  <c r="E279" i="8"/>
  <c r="F279" i="8"/>
  <c r="G279" i="8"/>
  <c r="B280" i="8"/>
  <c r="C280" i="8"/>
  <c r="D280" i="8"/>
  <c r="E280" i="8"/>
  <c r="F280" i="8"/>
  <c r="G280" i="8"/>
  <c r="B281" i="8"/>
  <c r="C281" i="8"/>
  <c r="D281" i="8"/>
  <c r="E281" i="8"/>
  <c r="F281" i="8"/>
  <c r="G281" i="8"/>
  <c r="B282" i="8"/>
  <c r="C282" i="8"/>
  <c r="D282" i="8"/>
  <c r="E282" i="8"/>
  <c r="F282" i="8"/>
  <c r="G282" i="8"/>
  <c r="B283" i="8"/>
  <c r="C283" i="8"/>
  <c r="D283" i="8"/>
  <c r="E283" i="8"/>
  <c r="F283" i="8"/>
  <c r="G283" i="8"/>
  <c r="B284" i="8"/>
  <c r="C284" i="8"/>
  <c r="D284" i="8"/>
  <c r="E284" i="8"/>
  <c r="F284" i="8"/>
  <c r="G284" i="8"/>
  <c r="B285" i="8"/>
  <c r="C285" i="8"/>
  <c r="D285" i="8"/>
  <c r="E285" i="8"/>
  <c r="F285" i="8"/>
  <c r="G285" i="8"/>
  <c r="B286" i="8"/>
  <c r="C286" i="8"/>
  <c r="D286" i="8"/>
  <c r="E286" i="8"/>
  <c r="F286" i="8"/>
  <c r="G286" i="8"/>
  <c r="B287" i="8"/>
  <c r="C287" i="8"/>
  <c r="D287" i="8"/>
  <c r="E287" i="8"/>
  <c r="F287" i="8"/>
  <c r="G287" i="8"/>
  <c r="B288" i="8"/>
  <c r="C288" i="8"/>
  <c r="D288" i="8"/>
  <c r="E288" i="8"/>
  <c r="F288" i="8"/>
  <c r="G288" i="8"/>
  <c r="B289" i="8"/>
  <c r="C289" i="8"/>
  <c r="D289" i="8"/>
  <c r="E289" i="8"/>
  <c r="F289" i="8"/>
  <c r="G289" i="8"/>
  <c r="B290" i="8"/>
  <c r="C290" i="8"/>
  <c r="D290" i="8"/>
  <c r="E290" i="8"/>
  <c r="F290" i="8"/>
  <c r="G290" i="8"/>
  <c r="B291" i="8"/>
  <c r="C291" i="8"/>
  <c r="D291" i="8"/>
  <c r="E291" i="8"/>
  <c r="F291" i="8"/>
  <c r="G291" i="8"/>
  <c r="B292" i="8"/>
  <c r="C292" i="8"/>
  <c r="D292" i="8"/>
  <c r="E292" i="8"/>
  <c r="F292" i="8"/>
  <c r="G292" i="8"/>
  <c r="B293" i="8"/>
  <c r="C293" i="8"/>
  <c r="D293" i="8"/>
  <c r="E293" i="8"/>
  <c r="F293" i="8"/>
  <c r="G293" i="8"/>
  <c r="B294" i="8"/>
  <c r="C294" i="8"/>
  <c r="D294" i="8"/>
  <c r="E294" i="8"/>
  <c r="F294" i="8"/>
  <c r="G294" i="8"/>
  <c r="B295" i="8"/>
  <c r="C295" i="8"/>
  <c r="D295" i="8"/>
  <c r="E295" i="8"/>
  <c r="F295" i="8"/>
  <c r="G295" i="8"/>
  <c r="B296" i="8"/>
  <c r="C296" i="8"/>
  <c r="D296" i="8"/>
  <c r="E296" i="8"/>
  <c r="F296" i="8"/>
  <c r="G296" i="8"/>
  <c r="B297" i="8"/>
  <c r="C297" i="8"/>
  <c r="D297" i="8"/>
  <c r="E297" i="8"/>
  <c r="F297" i="8"/>
  <c r="G297" i="8"/>
  <c r="B298" i="8"/>
  <c r="C298" i="8"/>
  <c r="D298" i="8"/>
  <c r="E298" i="8"/>
  <c r="F298" i="8"/>
  <c r="G298" i="8"/>
  <c r="B299" i="8"/>
  <c r="C299" i="8"/>
  <c r="D299" i="8"/>
  <c r="E299" i="8"/>
  <c r="F299" i="8"/>
  <c r="G299" i="8"/>
  <c r="B300" i="8"/>
  <c r="C300" i="8"/>
  <c r="D300" i="8"/>
  <c r="E300" i="8"/>
  <c r="F300" i="8"/>
  <c r="G300" i="8"/>
  <c r="B301" i="8"/>
  <c r="C301" i="8"/>
  <c r="D301" i="8"/>
  <c r="E301" i="8"/>
  <c r="F301" i="8"/>
  <c r="G301" i="8"/>
  <c r="B302" i="8"/>
  <c r="C302" i="8"/>
  <c r="D302" i="8"/>
  <c r="E302" i="8"/>
  <c r="F302" i="8"/>
  <c r="G302" i="8"/>
  <c r="B303" i="8"/>
  <c r="C303" i="8"/>
  <c r="D303" i="8"/>
  <c r="E303" i="8"/>
  <c r="F303" i="8"/>
  <c r="G303" i="8"/>
  <c r="B304" i="8"/>
  <c r="C304" i="8"/>
  <c r="D304" i="8"/>
  <c r="E304" i="8"/>
  <c r="F304" i="8"/>
  <c r="G304" i="8"/>
  <c r="B305" i="8"/>
  <c r="C305" i="8"/>
  <c r="D305" i="8"/>
  <c r="E305" i="8"/>
  <c r="F305" i="8"/>
  <c r="G305" i="8"/>
  <c r="B306" i="8"/>
  <c r="C306" i="8"/>
  <c r="D306" i="8"/>
  <c r="E306" i="8"/>
  <c r="F306" i="8"/>
  <c r="G306" i="8"/>
  <c r="B78" i="8"/>
  <c r="C78" i="8"/>
  <c r="D78" i="8"/>
  <c r="E78" i="8"/>
  <c r="F78" i="8"/>
  <c r="G78" i="8"/>
  <c r="B79" i="8"/>
  <c r="C79" i="8"/>
  <c r="D79" i="8"/>
  <c r="E79" i="8"/>
  <c r="F79" i="8"/>
  <c r="G79" i="8"/>
  <c r="B80" i="8"/>
  <c r="C80" i="8"/>
  <c r="D80" i="8"/>
  <c r="E80" i="8"/>
  <c r="F80" i="8"/>
  <c r="G80" i="8"/>
  <c r="B81" i="8"/>
  <c r="C81" i="8"/>
  <c r="D81" i="8"/>
  <c r="E81" i="8"/>
  <c r="F81" i="8"/>
  <c r="G81" i="8"/>
  <c r="B82" i="8"/>
  <c r="C82" i="8"/>
  <c r="D82" i="8"/>
  <c r="E82" i="8"/>
  <c r="F82" i="8"/>
  <c r="G82" i="8"/>
  <c r="B83" i="8"/>
  <c r="C83" i="8"/>
  <c r="D83" i="8"/>
  <c r="E83" i="8"/>
  <c r="F83" i="8"/>
  <c r="G83" i="8"/>
  <c r="B84" i="8"/>
  <c r="C84" i="8"/>
  <c r="D84" i="8"/>
  <c r="E84" i="8"/>
  <c r="F84" i="8"/>
  <c r="G84" i="8"/>
  <c r="B85" i="8"/>
  <c r="C85" i="8"/>
  <c r="D85" i="8"/>
  <c r="E85" i="8"/>
  <c r="F85" i="8"/>
  <c r="G85" i="8"/>
  <c r="B86" i="8"/>
  <c r="C86" i="8"/>
  <c r="D86" i="8"/>
  <c r="E86" i="8"/>
  <c r="F86" i="8"/>
  <c r="G86" i="8"/>
  <c r="B87" i="8"/>
  <c r="C87" i="8"/>
  <c r="D87" i="8"/>
  <c r="E87" i="8"/>
  <c r="F87" i="8"/>
  <c r="G87" i="8"/>
  <c r="B88" i="8"/>
  <c r="C88" i="8"/>
  <c r="D88" i="8"/>
  <c r="E88" i="8"/>
  <c r="F88" i="8"/>
  <c r="G88" i="8"/>
  <c r="B89" i="8"/>
  <c r="C89" i="8"/>
  <c r="D89" i="8"/>
  <c r="E89" i="8"/>
  <c r="F89" i="8"/>
  <c r="G89" i="8"/>
  <c r="B90" i="8"/>
  <c r="C90" i="8"/>
  <c r="D90" i="8"/>
  <c r="E90" i="8"/>
  <c r="F90" i="8"/>
  <c r="G90" i="8"/>
  <c r="B91" i="8"/>
  <c r="C91" i="8"/>
  <c r="D91" i="8"/>
  <c r="E91" i="8"/>
  <c r="F91" i="8"/>
  <c r="G91" i="8"/>
  <c r="B92" i="8"/>
  <c r="C92" i="8"/>
  <c r="D92" i="8"/>
  <c r="E92" i="8"/>
  <c r="F92" i="8"/>
  <c r="G92" i="8"/>
  <c r="B93" i="8"/>
  <c r="C93" i="8"/>
  <c r="D93" i="8"/>
  <c r="E93" i="8"/>
  <c r="F93" i="8"/>
  <c r="G93" i="8"/>
  <c r="B94" i="8"/>
  <c r="C94" i="8"/>
  <c r="D94" i="8"/>
  <c r="E94" i="8"/>
  <c r="F94" i="8"/>
  <c r="G94" i="8"/>
  <c r="B95" i="8"/>
  <c r="C95" i="8"/>
  <c r="D95" i="8"/>
  <c r="E95" i="8"/>
  <c r="F95" i="8"/>
  <c r="G95" i="8"/>
  <c r="B96" i="8"/>
  <c r="C96" i="8"/>
  <c r="D96" i="8"/>
  <c r="E96" i="8"/>
  <c r="F96" i="8"/>
  <c r="G96" i="8"/>
  <c r="B97" i="8"/>
  <c r="C97" i="8"/>
  <c r="D97" i="8"/>
  <c r="E97" i="8"/>
  <c r="F97" i="8"/>
  <c r="G97" i="8"/>
  <c r="B98" i="8"/>
  <c r="C98" i="8"/>
  <c r="D98" i="8"/>
  <c r="E98" i="8"/>
  <c r="F98" i="8"/>
  <c r="G98" i="8"/>
  <c r="B99" i="8"/>
  <c r="C99" i="8"/>
  <c r="D99" i="8"/>
  <c r="E99" i="8"/>
  <c r="F99" i="8"/>
  <c r="G99" i="8"/>
  <c r="B100" i="8"/>
  <c r="C100" i="8"/>
  <c r="D100" i="8"/>
  <c r="E100" i="8"/>
  <c r="F100" i="8"/>
  <c r="G100" i="8"/>
  <c r="B101" i="8"/>
  <c r="C101" i="8"/>
  <c r="D101" i="8"/>
  <c r="E101" i="8"/>
  <c r="F101" i="8"/>
  <c r="G101" i="8"/>
  <c r="B102" i="8"/>
  <c r="C102" i="8"/>
  <c r="D102" i="8"/>
  <c r="E102" i="8"/>
  <c r="F102" i="8"/>
  <c r="G102" i="8"/>
  <c r="B103" i="8"/>
  <c r="C103" i="8"/>
  <c r="D103" i="8"/>
  <c r="E103" i="8"/>
  <c r="F103" i="8"/>
  <c r="G103" i="8"/>
  <c r="B104" i="8"/>
  <c r="C104" i="8"/>
  <c r="D104" i="8"/>
  <c r="E104" i="8"/>
  <c r="F104" i="8"/>
  <c r="G104" i="8"/>
  <c r="B105" i="8"/>
  <c r="C105" i="8"/>
  <c r="D105" i="8"/>
  <c r="E105" i="8"/>
  <c r="F105" i="8"/>
  <c r="G105" i="8"/>
  <c r="B106" i="8"/>
  <c r="C106" i="8"/>
  <c r="D106" i="8"/>
  <c r="E106" i="8"/>
  <c r="F106" i="8"/>
  <c r="G106" i="8"/>
  <c r="B107" i="8"/>
  <c r="C107" i="8"/>
  <c r="D107" i="8"/>
  <c r="E107" i="8"/>
  <c r="F107" i="8"/>
  <c r="G107" i="8"/>
  <c r="B108" i="8"/>
  <c r="C108" i="8"/>
  <c r="D108" i="8"/>
  <c r="E108" i="8"/>
  <c r="F108" i="8"/>
  <c r="G108" i="8"/>
  <c r="B109" i="8"/>
  <c r="C109" i="8"/>
  <c r="D109" i="8"/>
  <c r="E109" i="8"/>
  <c r="F109" i="8"/>
  <c r="G109" i="8"/>
  <c r="B110" i="8"/>
  <c r="C110" i="8"/>
  <c r="D110" i="8"/>
  <c r="E110" i="8"/>
  <c r="F110" i="8"/>
  <c r="G110" i="8"/>
  <c r="B111" i="8"/>
  <c r="C111" i="8"/>
  <c r="D111" i="8"/>
  <c r="E111" i="8"/>
  <c r="F111" i="8"/>
  <c r="G111" i="8"/>
  <c r="B112" i="8"/>
  <c r="C112" i="8"/>
  <c r="D112" i="8"/>
  <c r="E112" i="8"/>
  <c r="F112" i="8"/>
  <c r="G112" i="8"/>
  <c r="B113" i="8"/>
  <c r="C113" i="8"/>
  <c r="D113" i="8"/>
  <c r="E113" i="8"/>
  <c r="F113" i="8"/>
  <c r="G113" i="8"/>
  <c r="B114" i="8"/>
  <c r="C114" i="8"/>
  <c r="D114" i="8"/>
  <c r="E114" i="8"/>
  <c r="F114" i="8"/>
  <c r="G114" i="8"/>
  <c r="B115" i="8"/>
  <c r="C115" i="8"/>
  <c r="D115" i="8"/>
  <c r="E115" i="8"/>
  <c r="F115" i="8"/>
  <c r="G115" i="8"/>
  <c r="B116" i="8"/>
  <c r="C116" i="8"/>
  <c r="D116" i="8"/>
  <c r="E116" i="8"/>
  <c r="F116" i="8"/>
  <c r="G116" i="8"/>
  <c r="B117" i="8"/>
  <c r="C117" i="8"/>
  <c r="D117" i="8"/>
  <c r="E117" i="8"/>
  <c r="F117" i="8"/>
  <c r="G117" i="8"/>
  <c r="B118" i="8"/>
  <c r="C118" i="8"/>
  <c r="D118" i="8"/>
  <c r="E118" i="8"/>
  <c r="F118" i="8"/>
  <c r="G118" i="8"/>
  <c r="B119" i="8"/>
  <c r="C119" i="8"/>
  <c r="D119" i="8"/>
  <c r="E119" i="8"/>
  <c r="F119" i="8"/>
  <c r="G119" i="8"/>
  <c r="B120" i="8"/>
  <c r="C120" i="8"/>
  <c r="D120" i="8"/>
  <c r="E120" i="8"/>
  <c r="F120" i="8"/>
  <c r="G120" i="8"/>
  <c r="B121" i="8"/>
  <c r="C121" i="8"/>
  <c r="D121" i="8"/>
  <c r="E121" i="8"/>
  <c r="F121" i="8"/>
  <c r="G121" i="8"/>
  <c r="B122" i="8"/>
  <c r="C122" i="8"/>
  <c r="D122" i="8"/>
  <c r="E122" i="8"/>
  <c r="F122" i="8"/>
  <c r="G122" i="8"/>
  <c r="B123" i="8"/>
  <c r="C123" i="8"/>
  <c r="D123" i="8"/>
  <c r="E123" i="8"/>
  <c r="F123" i="8"/>
  <c r="G123" i="8"/>
  <c r="B124" i="8"/>
  <c r="C124" i="8"/>
  <c r="D124" i="8"/>
  <c r="E124" i="8"/>
  <c r="F124" i="8"/>
  <c r="G124" i="8"/>
  <c r="B125" i="8"/>
  <c r="C125" i="8"/>
  <c r="D125" i="8"/>
  <c r="E125" i="8"/>
  <c r="F125" i="8"/>
  <c r="G125" i="8"/>
  <c r="B126" i="8"/>
  <c r="C126" i="8"/>
  <c r="D126" i="8"/>
  <c r="E126" i="8"/>
  <c r="F126" i="8"/>
  <c r="G126" i="8"/>
  <c r="B127" i="8"/>
  <c r="C127" i="8"/>
  <c r="D127" i="8"/>
  <c r="E127" i="8"/>
  <c r="F127" i="8"/>
  <c r="G127" i="8"/>
  <c r="B128" i="8"/>
  <c r="C128" i="8"/>
  <c r="D128" i="8"/>
  <c r="E128" i="8"/>
  <c r="F128" i="8"/>
  <c r="G128" i="8"/>
  <c r="B129" i="8"/>
  <c r="C129" i="8"/>
  <c r="D129" i="8"/>
  <c r="E129" i="8"/>
  <c r="F129" i="8"/>
  <c r="G129" i="8"/>
  <c r="B130" i="8"/>
  <c r="C130" i="8"/>
  <c r="D130" i="8"/>
  <c r="E130" i="8"/>
  <c r="F130" i="8"/>
  <c r="G130" i="8"/>
  <c r="B131" i="8"/>
  <c r="C131" i="8"/>
  <c r="D131" i="8"/>
  <c r="E131" i="8"/>
  <c r="F131" i="8"/>
  <c r="G131" i="8"/>
  <c r="B132" i="8"/>
  <c r="C132" i="8"/>
  <c r="D132" i="8"/>
  <c r="E132" i="8"/>
  <c r="F132" i="8"/>
  <c r="G132" i="8"/>
  <c r="B133" i="8"/>
  <c r="C133" i="8"/>
  <c r="D133" i="8"/>
  <c r="E133" i="8"/>
  <c r="F133" i="8"/>
  <c r="G133" i="8"/>
  <c r="B134" i="8"/>
  <c r="C134" i="8"/>
  <c r="D134" i="8"/>
  <c r="E134" i="8"/>
  <c r="F134" i="8"/>
  <c r="G134" i="8"/>
  <c r="B135" i="8"/>
  <c r="C135" i="8"/>
  <c r="D135" i="8"/>
  <c r="E135" i="8"/>
  <c r="F135" i="8"/>
  <c r="G135" i="8"/>
  <c r="B136" i="8"/>
  <c r="C136" i="8"/>
  <c r="D136" i="8"/>
  <c r="E136" i="8"/>
  <c r="F136" i="8"/>
  <c r="G136" i="8"/>
  <c r="B137" i="8"/>
  <c r="C137" i="8"/>
  <c r="D137" i="8"/>
  <c r="E137" i="8"/>
  <c r="F137" i="8"/>
  <c r="G137" i="8"/>
  <c r="B138" i="8"/>
  <c r="C138" i="8"/>
  <c r="D138" i="8"/>
  <c r="E138" i="8"/>
  <c r="F138" i="8"/>
  <c r="G138" i="8"/>
  <c r="B139" i="8"/>
  <c r="C139" i="8"/>
  <c r="D139" i="8"/>
  <c r="E139" i="8"/>
  <c r="F139" i="8"/>
  <c r="G139" i="8"/>
  <c r="B140" i="8"/>
  <c r="C140" i="8"/>
  <c r="D140" i="8"/>
  <c r="E140" i="8"/>
  <c r="F140" i="8"/>
  <c r="G140" i="8"/>
  <c r="B141" i="8"/>
  <c r="C141" i="8"/>
  <c r="D141" i="8"/>
  <c r="E141" i="8"/>
  <c r="F141" i="8"/>
  <c r="G141" i="8"/>
  <c r="B142" i="8"/>
  <c r="C142" i="8"/>
  <c r="D142" i="8"/>
  <c r="E142" i="8"/>
  <c r="F142" i="8"/>
  <c r="G142" i="8"/>
  <c r="B143" i="8"/>
  <c r="C143" i="8"/>
  <c r="D143" i="8"/>
  <c r="E143" i="8"/>
  <c r="F143" i="8"/>
  <c r="G143" i="8"/>
  <c r="B144" i="8"/>
  <c r="C144" i="8"/>
  <c r="D144" i="8"/>
  <c r="E144" i="8"/>
  <c r="F144" i="8"/>
  <c r="G144" i="8"/>
  <c r="B145" i="8"/>
  <c r="C145" i="8"/>
  <c r="D145" i="8"/>
  <c r="E145" i="8"/>
  <c r="F145" i="8"/>
  <c r="G145" i="8"/>
  <c r="B146" i="8"/>
  <c r="C146" i="8"/>
  <c r="D146" i="8"/>
  <c r="E146" i="8"/>
  <c r="F146" i="8"/>
  <c r="G146" i="8"/>
  <c r="B147" i="8"/>
  <c r="C147" i="8"/>
  <c r="D147" i="8"/>
  <c r="E147" i="8"/>
  <c r="F147" i="8"/>
  <c r="G147" i="8"/>
  <c r="B148" i="8"/>
  <c r="C148" i="8"/>
  <c r="D148" i="8"/>
  <c r="E148" i="8"/>
  <c r="F148" i="8"/>
  <c r="G148" i="8"/>
  <c r="B149" i="8"/>
  <c r="C149" i="8"/>
  <c r="D149" i="8"/>
  <c r="E149" i="8"/>
  <c r="F149" i="8"/>
  <c r="G149" i="8"/>
  <c r="B150" i="8"/>
  <c r="C150" i="8"/>
  <c r="D150" i="8"/>
  <c r="E150" i="8"/>
  <c r="F150" i="8"/>
  <c r="G150" i="8"/>
  <c r="B151" i="8"/>
  <c r="C151" i="8"/>
  <c r="D151" i="8"/>
  <c r="E151" i="8"/>
  <c r="F151" i="8"/>
  <c r="G151" i="8"/>
  <c r="B152" i="8"/>
  <c r="C152" i="8"/>
  <c r="D152" i="8"/>
  <c r="E152" i="8"/>
  <c r="F152" i="8"/>
  <c r="G152" i="8"/>
  <c r="B153" i="8"/>
  <c r="C153" i="8"/>
  <c r="D153" i="8"/>
  <c r="E153" i="8"/>
  <c r="F153" i="8"/>
  <c r="G153" i="8"/>
  <c r="B154" i="8"/>
  <c r="C154" i="8"/>
  <c r="D154" i="8"/>
  <c r="E154" i="8"/>
  <c r="F154" i="8"/>
  <c r="G154" i="8"/>
  <c r="B155" i="8"/>
  <c r="C155" i="8"/>
  <c r="D155" i="8"/>
  <c r="E155" i="8"/>
  <c r="F155" i="8"/>
  <c r="G155" i="8"/>
  <c r="B156" i="8"/>
  <c r="C156" i="8"/>
  <c r="D156" i="8"/>
  <c r="E156" i="8"/>
  <c r="F156" i="8"/>
  <c r="G156" i="8"/>
  <c r="B157" i="8"/>
  <c r="C157" i="8"/>
  <c r="D157" i="8"/>
  <c r="E157" i="8"/>
  <c r="F157" i="8"/>
  <c r="G157" i="8"/>
  <c r="B158" i="8"/>
  <c r="C158" i="8"/>
  <c r="D158" i="8"/>
  <c r="E158" i="8"/>
  <c r="F158" i="8"/>
  <c r="G158" i="8"/>
  <c r="B159" i="8"/>
  <c r="C159" i="8"/>
  <c r="D159" i="8"/>
  <c r="E159" i="8"/>
  <c r="F159" i="8"/>
  <c r="G159" i="8"/>
  <c r="B160" i="8"/>
  <c r="C160" i="8"/>
  <c r="D160" i="8"/>
  <c r="E160" i="8"/>
  <c r="F160" i="8"/>
  <c r="G160" i="8"/>
  <c r="B161" i="8"/>
  <c r="C161" i="8"/>
  <c r="D161" i="8"/>
  <c r="E161" i="8"/>
  <c r="F161" i="8"/>
  <c r="G161" i="8"/>
  <c r="B162" i="8"/>
  <c r="C162" i="8"/>
  <c r="D162" i="8"/>
  <c r="E162" i="8"/>
  <c r="F162" i="8"/>
  <c r="G162" i="8"/>
  <c r="B163" i="8"/>
  <c r="C163" i="8"/>
  <c r="D163" i="8"/>
  <c r="E163" i="8"/>
  <c r="F163" i="8"/>
  <c r="G163" i="8"/>
  <c r="B164" i="8"/>
  <c r="C164" i="8"/>
  <c r="D164" i="8"/>
  <c r="E164" i="8"/>
  <c r="F164" i="8"/>
  <c r="G164" i="8"/>
  <c r="B165" i="8"/>
  <c r="C165" i="8"/>
  <c r="D165" i="8"/>
  <c r="E165" i="8"/>
  <c r="F165" i="8"/>
  <c r="G165" i="8"/>
  <c r="B166" i="8"/>
  <c r="C166" i="8"/>
  <c r="D166" i="8"/>
  <c r="E166" i="8"/>
  <c r="F166" i="8"/>
  <c r="G166" i="8"/>
  <c r="B167" i="8"/>
  <c r="C167" i="8"/>
  <c r="D167" i="8"/>
  <c r="E167" i="8"/>
  <c r="F167" i="8"/>
  <c r="G167" i="8"/>
  <c r="B168" i="8"/>
  <c r="C168" i="8"/>
  <c r="D168" i="8"/>
  <c r="E168" i="8"/>
  <c r="F168" i="8"/>
  <c r="G168" i="8"/>
  <c r="B169" i="8"/>
  <c r="C169" i="8"/>
  <c r="D169" i="8"/>
  <c r="E169" i="8"/>
  <c r="F169" i="8"/>
  <c r="G169" i="8"/>
  <c r="B170" i="8"/>
  <c r="C170" i="8"/>
  <c r="D170" i="8"/>
  <c r="E170" i="8"/>
  <c r="F170" i="8"/>
  <c r="G170" i="8"/>
  <c r="B171" i="8"/>
  <c r="C171" i="8"/>
  <c r="D171" i="8"/>
  <c r="E171" i="8"/>
  <c r="F171" i="8"/>
  <c r="G171" i="8"/>
  <c r="B172" i="8"/>
  <c r="C172" i="8"/>
  <c r="D172" i="8"/>
  <c r="E172" i="8"/>
  <c r="F172" i="8"/>
  <c r="G172" i="8"/>
  <c r="B173" i="8"/>
  <c r="C173" i="8"/>
  <c r="D173" i="8"/>
  <c r="E173" i="8"/>
  <c r="F173" i="8"/>
  <c r="G173" i="8"/>
  <c r="B174" i="8"/>
  <c r="C174" i="8"/>
  <c r="D174" i="8"/>
  <c r="E174" i="8"/>
  <c r="F174" i="8"/>
  <c r="G174" i="8"/>
  <c r="B175" i="8"/>
  <c r="C175" i="8"/>
  <c r="D175" i="8"/>
  <c r="E175" i="8"/>
  <c r="F175" i="8"/>
  <c r="G175" i="8"/>
  <c r="B176" i="8"/>
  <c r="C176" i="8"/>
  <c r="D176" i="8"/>
  <c r="E176" i="8"/>
  <c r="F176" i="8"/>
  <c r="G176" i="8"/>
  <c r="B177" i="8"/>
  <c r="C177" i="8"/>
  <c r="D177" i="8"/>
  <c r="E177" i="8"/>
  <c r="F177" i="8"/>
  <c r="G177" i="8"/>
  <c r="B178" i="8"/>
  <c r="C178" i="8"/>
  <c r="D178" i="8"/>
  <c r="E178" i="8"/>
  <c r="F178" i="8"/>
  <c r="G178" i="8"/>
  <c r="B179" i="8"/>
  <c r="C179" i="8"/>
  <c r="D179" i="8"/>
  <c r="E179" i="8"/>
  <c r="F179" i="8"/>
  <c r="G179" i="8"/>
  <c r="B180" i="8"/>
  <c r="C180" i="8"/>
  <c r="D180" i="8"/>
  <c r="E180" i="8"/>
  <c r="F180" i="8"/>
  <c r="G180" i="8"/>
  <c r="B181" i="8"/>
  <c r="C181" i="8"/>
  <c r="D181" i="8"/>
  <c r="E181" i="8"/>
  <c r="F181" i="8"/>
  <c r="G181" i="8"/>
  <c r="B182" i="8"/>
  <c r="C182" i="8"/>
  <c r="D182" i="8"/>
  <c r="E182" i="8"/>
  <c r="F182" i="8"/>
  <c r="G182" i="8"/>
  <c r="B183" i="8"/>
  <c r="C183" i="8"/>
  <c r="D183" i="8"/>
  <c r="E183" i="8"/>
  <c r="F183" i="8"/>
  <c r="G183" i="8"/>
  <c r="B184" i="8"/>
  <c r="C184" i="8"/>
  <c r="D184" i="8"/>
  <c r="E184" i="8"/>
  <c r="F184" i="8"/>
  <c r="G184" i="8"/>
  <c r="B185" i="8"/>
  <c r="C185" i="8"/>
  <c r="D185" i="8"/>
  <c r="E185" i="8"/>
  <c r="F185" i="8"/>
  <c r="G185" i="8"/>
  <c r="B186" i="8"/>
  <c r="C186" i="8"/>
  <c r="D186" i="8"/>
  <c r="E186" i="8"/>
  <c r="F186" i="8"/>
  <c r="G186" i="8"/>
  <c r="B187" i="8"/>
  <c r="C187" i="8"/>
  <c r="D187" i="8"/>
  <c r="E187" i="8"/>
  <c r="F187" i="8"/>
  <c r="G187" i="8"/>
  <c r="B188" i="8"/>
  <c r="C188" i="8"/>
  <c r="D188" i="8"/>
  <c r="E188" i="8"/>
  <c r="F188" i="8"/>
  <c r="G188" i="8"/>
  <c r="B189" i="8"/>
  <c r="C189" i="8"/>
  <c r="D189" i="8"/>
  <c r="E189" i="8"/>
  <c r="F189" i="8"/>
  <c r="G189" i="8"/>
  <c r="B190" i="8"/>
  <c r="C190" i="8"/>
  <c r="D190" i="8"/>
  <c r="E190" i="8"/>
  <c r="F190" i="8"/>
  <c r="G190" i="8"/>
  <c r="B191" i="8"/>
  <c r="C191" i="8"/>
  <c r="D191" i="8"/>
  <c r="E191" i="8"/>
  <c r="F191" i="8"/>
  <c r="G191" i="8"/>
  <c r="B192" i="8"/>
  <c r="C192" i="8"/>
  <c r="D192" i="8"/>
  <c r="E192" i="8"/>
  <c r="F192" i="8"/>
  <c r="G192" i="8"/>
  <c r="B193" i="8"/>
  <c r="C193" i="8"/>
  <c r="D193" i="8"/>
  <c r="E193" i="8"/>
  <c r="F193" i="8"/>
  <c r="G193" i="8"/>
  <c r="B194" i="8"/>
  <c r="C194" i="8"/>
  <c r="D194" i="8"/>
  <c r="E194" i="8"/>
  <c r="F194" i="8"/>
  <c r="G194" i="8"/>
  <c r="B195" i="8"/>
  <c r="C195" i="8"/>
  <c r="D195" i="8"/>
  <c r="E195" i="8"/>
  <c r="F195" i="8"/>
  <c r="G195" i="8"/>
  <c r="B196" i="8"/>
  <c r="C196" i="8"/>
  <c r="D196" i="8"/>
  <c r="E196" i="8"/>
  <c r="F196" i="8"/>
  <c r="G196" i="8"/>
  <c r="B197" i="8"/>
  <c r="C197" i="8"/>
  <c r="D197" i="8"/>
  <c r="E197" i="8"/>
  <c r="F197" i="8"/>
  <c r="G197" i="8"/>
  <c r="B198" i="8"/>
  <c r="C198" i="8"/>
  <c r="D198" i="8"/>
  <c r="E198" i="8"/>
  <c r="F198" i="8"/>
  <c r="G198" i="8"/>
  <c r="B199" i="8"/>
  <c r="C199" i="8"/>
  <c r="D199" i="8"/>
  <c r="E199" i="8"/>
  <c r="F199" i="8"/>
  <c r="G199" i="8"/>
  <c r="B200" i="8"/>
  <c r="C200" i="8"/>
  <c r="D200" i="8"/>
  <c r="E200" i="8"/>
  <c r="F200" i="8"/>
  <c r="G200" i="8"/>
  <c r="B201" i="8"/>
  <c r="C201" i="8"/>
  <c r="D201" i="8"/>
  <c r="E201" i="8"/>
  <c r="F201" i="8"/>
  <c r="G201" i="8"/>
  <c r="B202" i="8"/>
  <c r="C202" i="8"/>
  <c r="D202" i="8"/>
  <c r="E202" i="8"/>
  <c r="F202" i="8"/>
  <c r="G202" i="8"/>
  <c r="B203" i="8"/>
  <c r="C203" i="8"/>
  <c r="D203" i="8"/>
  <c r="E203" i="8"/>
  <c r="F203" i="8"/>
  <c r="G203" i="8"/>
  <c r="B204" i="8"/>
  <c r="C204" i="8"/>
  <c r="D204" i="8"/>
  <c r="E204" i="8"/>
  <c r="F204" i="8"/>
  <c r="G204" i="8"/>
  <c r="B205" i="8"/>
  <c r="C205" i="8"/>
  <c r="D205" i="8"/>
  <c r="E205" i="8"/>
  <c r="F205" i="8"/>
  <c r="G205" i="8"/>
  <c r="B206" i="8"/>
  <c r="C206" i="8"/>
  <c r="D206" i="8"/>
  <c r="E206" i="8"/>
  <c r="F206" i="8"/>
  <c r="G206" i="8"/>
  <c r="B207" i="8"/>
  <c r="C207" i="8"/>
  <c r="D207" i="8"/>
  <c r="E207" i="8"/>
  <c r="F207" i="8"/>
  <c r="G207" i="8"/>
  <c r="B208" i="8"/>
  <c r="C208" i="8"/>
  <c r="D208" i="8"/>
  <c r="E208" i="8"/>
  <c r="F208" i="8"/>
  <c r="G208" i="8"/>
  <c r="B209" i="8"/>
  <c r="C209" i="8"/>
  <c r="D209" i="8"/>
  <c r="E209" i="8"/>
  <c r="F209" i="8"/>
  <c r="G209" i="8"/>
  <c r="B210" i="8"/>
  <c r="C210" i="8"/>
  <c r="D210" i="8"/>
  <c r="E210" i="8"/>
  <c r="F210" i="8"/>
  <c r="G210" i="8"/>
  <c r="B211" i="8"/>
  <c r="C211" i="8"/>
  <c r="D211" i="8"/>
  <c r="E211" i="8"/>
  <c r="F211" i="8"/>
  <c r="G211" i="8"/>
  <c r="B212" i="8"/>
  <c r="C212" i="8"/>
  <c r="D212" i="8"/>
  <c r="E212" i="8"/>
  <c r="F212" i="8"/>
  <c r="G212" i="8"/>
  <c r="B28" i="8"/>
  <c r="C28" i="8"/>
  <c r="D28" i="8"/>
  <c r="E28" i="8"/>
  <c r="F28" i="8"/>
  <c r="G28" i="8"/>
  <c r="I28" i="8" a="1"/>
  <c r="I35" i="8" s="1"/>
  <c r="J28" i="8" a="1"/>
  <c r="J35" i="8" s="1"/>
  <c r="K28" i="8" a="1"/>
  <c r="K35" i="8" s="1"/>
  <c r="L28" i="8"/>
  <c r="M28" i="8"/>
  <c r="N28" i="8"/>
  <c r="B29" i="8"/>
  <c r="C29" i="8"/>
  <c r="D29" i="8"/>
  <c r="E29" i="8"/>
  <c r="F29" i="8"/>
  <c r="F35" i="8" s="1"/>
  <c r="G29" i="8"/>
  <c r="H29" i="8"/>
  <c r="I29" i="8" a="1"/>
  <c r="J29" i="8" a="1"/>
  <c r="K29" i="8" a="1"/>
  <c r="L29" i="8"/>
  <c r="M29" i="8"/>
  <c r="N29" i="8"/>
  <c r="B30" i="8"/>
  <c r="E30" i="8" s="1"/>
  <c r="C30" i="8"/>
  <c r="D30" i="8"/>
  <c r="F30" i="8"/>
  <c r="G30" i="8"/>
  <c r="H30" i="8"/>
  <c r="I30" i="8" a="1"/>
  <c r="J30" i="8" a="1"/>
  <c r="K30" i="8" a="1"/>
  <c r="L30" i="8"/>
  <c r="M30" i="8"/>
  <c r="N30" i="8"/>
  <c r="B31" i="8"/>
  <c r="E31" i="8" s="1"/>
  <c r="C31" i="8"/>
  <c r="D31" i="8"/>
  <c r="F31" i="8"/>
  <c r="G31" i="8"/>
  <c r="H31" i="8"/>
  <c r="I31" i="8" a="1"/>
  <c r="J31" i="8" a="1"/>
  <c r="K31" i="8" a="1"/>
  <c r="L31" i="8"/>
  <c r="M31" i="8"/>
  <c r="N31" i="8"/>
  <c r="B32" i="8"/>
  <c r="E32" i="8" s="1"/>
  <c r="C32" i="8"/>
  <c r="D32" i="8"/>
  <c r="F32" i="8"/>
  <c r="G32" i="8"/>
  <c r="H32" i="8"/>
  <c r="I32" i="8" a="1"/>
  <c r="J32" i="8" a="1"/>
  <c r="K32" i="8" a="1"/>
  <c r="L32" i="8"/>
  <c r="M32" i="8"/>
  <c r="N32" i="8"/>
  <c r="B33" i="8"/>
  <c r="E33" i="8" s="1"/>
  <c r="C33" i="8"/>
  <c r="D33" i="8"/>
  <c r="F33" i="8"/>
  <c r="G33" i="8"/>
  <c r="H33" i="8"/>
  <c r="I33" i="8" a="1"/>
  <c r="J33" i="8" a="1"/>
  <c r="K33" i="8" a="1"/>
  <c r="L33" i="8"/>
  <c r="M33" i="8"/>
  <c r="N33" i="8"/>
  <c r="B34" i="8"/>
  <c r="C34" i="8"/>
  <c r="C35" i="8" s="1"/>
  <c r="D34" i="8"/>
  <c r="F34" i="8"/>
  <c r="G34" i="8"/>
  <c r="H34" i="8"/>
  <c r="I34" i="8" a="1"/>
  <c r="J34" i="8" a="1"/>
  <c r="K34" i="8" a="1"/>
  <c r="L34" i="8"/>
  <c r="M34" i="8"/>
  <c r="N34" i="8"/>
  <c r="B35" i="8"/>
  <c r="B7" i="8"/>
  <c r="B8" i="8"/>
  <c r="B9" i="8"/>
  <c r="B10" i="8" s="1"/>
  <c r="G345" i="8" l="1"/>
  <c r="J338" i="8"/>
  <c r="I338" i="8"/>
  <c r="H338" i="8"/>
  <c r="J339" i="8"/>
  <c r="I339" i="8"/>
  <c r="H339" i="8"/>
  <c r="J340" i="8"/>
  <c r="I340" i="8"/>
  <c r="H340" i="8"/>
  <c r="J341" i="8"/>
  <c r="I341" i="8"/>
  <c r="H341" i="8"/>
  <c r="J342" i="8"/>
  <c r="I342" i="8"/>
  <c r="H342" i="8"/>
  <c r="J343" i="8"/>
  <c r="I343" i="8"/>
  <c r="H343" i="8"/>
  <c r="G344" i="8"/>
  <c r="B345" i="8"/>
  <c r="G35" i="8"/>
  <c r="H28" i="8"/>
  <c r="E34" i="8"/>
  <c r="D35" i="8"/>
  <c r="E35" i="8" s="1"/>
  <c r="J345" i="8" l="1"/>
  <c r="H345" i="8"/>
  <c r="J344" i="8"/>
  <c r="I344" i="8"/>
  <c r="H344" i="8"/>
  <c r="N35" i="8"/>
  <c r="M35" i="8"/>
  <c r="L35" i="8"/>
  <c r="H35" i="8"/>
  <c r="F344" i="8"/>
  <c r="E344" i="8"/>
  <c r="D344" i="8"/>
  <c r="C344" i="8"/>
  <c r="B344" i="8"/>
  <c r="F343" i="8"/>
  <c r="E343" i="8"/>
  <c r="D343" i="8"/>
  <c r="C343" i="8"/>
  <c r="B343" i="8"/>
  <c r="F342" i="8"/>
  <c r="E342" i="8"/>
  <c r="D342" i="8"/>
  <c r="C342" i="8"/>
  <c r="B342" i="8"/>
  <c r="F341" i="8"/>
  <c r="E341" i="8"/>
  <c r="D341" i="8"/>
  <c r="C341" i="8"/>
  <c r="B341" i="8"/>
  <c r="F340" i="8"/>
  <c r="E340" i="8"/>
  <c r="D340" i="8"/>
  <c r="C340" i="8"/>
  <c r="B340" i="8"/>
  <c r="F339" i="8"/>
  <c r="E339" i="8"/>
  <c r="D339" i="8"/>
  <c r="C339" i="8"/>
  <c r="B339" i="8"/>
  <c r="F338" i="8"/>
  <c r="E338" i="8"/>
  <c r="D338" i="8"/>
  <c r="C338" i="8"/>
  <c r="B338" i="8"/>
  <c r="K34" i="8"/>
  <c r="J34" i="8"/>
  <c r="I34" i="8"/>
  <c r="K33" i="8"/>
  <c r="J33" i="8"/>
  <c r="I33" i="8"/>
  <c r="K32" i="8"/>
  <c r="J32" i="8"/>
  <c r="I32" i="8"/>
  <c r="K31" i="8"/>
  <c r="J31" i="8"/>
  <c r="I31" i="8"/>
  <c r="K30" i="8"/>
  <c r="J30" i="8"/>
  <c r="I30" i="8"/>
  <c r="K29" i="8"/>
  <c r="J29" i="8"/>
  <c r="I29" i="8"/>
  <c r="K28" i="8"/>
  <c r="J28" i="8"/>
  <c r="I28"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<sst xmlns="http://schemas.openxmlformats.org/spreadsheetml/2006/main" count="4944" uniqueCount="1705">
  <si>
    <t>Bazaarvoice</t>
  </si>
  <si>
    <t>Pampers-FR_FR R&amp;R Key Metrics</t>
  </si>
  <si>
    <t>Run Date: Aug 12, 2026 12:00 AM UTC</t>
  </si>
  <si>
    <t>Instance: pampers-fr_fr</t>
  </si>
  <si>
    <t>Date range: All Time</t>
  </si>
  <si>
    <t>Date field: Review Submission Date</t>
  </si>
  <si>
    <t>Brand ID</t>
  </si>
  <si>
    <t>Brand</t>
  </si>
  <si>
    <t>Product ID</t>
  </si>
  <si>
    <t>Product Status</t>
  </si>
  <si>
    <t>Product Name</t>
  </si>
  <si>
    <t>Description</t>
  </si>
  <si>
    <t>Product Page URL</t>
  </si>
  <si>
    <t>Image URL</t>
  </si>
  <si>
    <t>UPC</t>
  </si>
  <si>
    <t>EAN</t>
  </si>
  <si>
    <t>Product Family</t>
  </si>
  <si>
    <t>Product Family - Expand</t>
  </si>
  <si>
    <t># Approved Reviews</t>
  </si>
  <si>
    <t>7-FR</t>
  </si>
  <si>
    <t>Pampers FR</t>
  </si>
  <si>
    <t>181156484-FR</t>
  </si>
  <si>
    <t>Inactive</t>
  </si>
  <si>
    <t>Lingettes Pampers Sensitive</t>
  </si>
  <si>
    <t>Pendant que vous nettoyez et prenez soin de la peau de votre bébé, vous pouvez en profiter pour créer un lien avec lui. Offrez à votre bébé une toilette rafraîchissante avec les nouvelles lingettes Pampers Sensitive, qui intègrent à présent la nouvelle Soft Grip Texture™ unique. Elles sont désormais 15 % plus épaisses avec un motif ultra-doux. Ces lingettes sont plus efficaces pour une toilette plus douce. Donc, la seule chose que votre bébé sent lorsque vous le changez, c'est votre amour.</t>
  </si>
  <si>
    <t>http://dev.pampers.fr/Lingettes-Pampers-Sensitive</t>
  </si>
  <si>
    <t>http://dev.pampers.fr/fr_FR/images/pc/hb/lsp/products/prod_image_main_wipes_sensitive.png</t>
  </si>
  <si>
    <t>181156482-FR</t>
  </si>
  <si>
    <t>Pampers Active Fit</t>
  </si>
  <si>
    <t>Pampers Active Fit sont nos couches les plus absorbantes et les mieux ajustées. Elles offrent à votre bébé jusqu'à 12 heures bien au sec et, grâce à leur système d'ajustement 3-Way Fit, s'adaptent parfaitement au niveau de la taille, des cuisses et de l'entrejambe.</t>
  </si>
  <si>
    <t>http://dev.pampers.fr/Pampers-Active-Fit</t>
  </si>
  <si>
    <t>http://dev.pampers.fr/fr_FR/images/pc/hb/lsp/products/prod_image_main_diaper_activefit.png</t>
  </si>
  <si>
    <t>4015400598947, 4015400599180, 4015400599241, 4015400599272, 4015400599302, 4015400617693, 4015400617778, 4015400617792, 4015400618218, 4015400618232, 4015400618256, 4015400618270, 4015400618836, 4015400618898, 4015400618928, 4015400618959, 4015400622543, 4015400696315, 4015400696346, 4015400696377, 4015400696407, 4015400696438, 4015400696469, 4015400696506, 4015400696544, 4015400696582, 4015400696629, 4015400696667, 4015400697374, 4015400697459, 4015400697497, 4015400697572, 4015400697626, 4015400697664, 4015400697701, 4015400697763, 4015400697909, 4015400697947, 4015400699422</t>
  </si>
  <si>
    <t>181148361-FR</t>
  </si>
  <si>
    <t>Chaque pli et chaque fossette ont besoin de votre amour. C'est pourquoi Les lingettes Pampers Sensitive sont imprégnées de la lotion Pure Care qui nettoie tout en douceur et rétablit le pH naturel de la peau.</t>
  </si>
  <si>
    <t>http://www.pampers.fr/lingettes-pour-bebes-pampers-sensitive</t>
  </si>
  <si>
    <t>http://www.pampers.fr/fr_FR/images/pc/hb/products/prod_img_wipes_sensitiveNor.jpg</t>
  </si>
  <si>
    <t>8-FR</t>
  </si>
  <si>
    <t>Lingettes Pampers Sans Parfum</t>
  </si>
  <si>
    <t>Les lingettes Pampers nettoient et rafraîchissent la peau de bébé. La toilette Pampers existe aussi sans parfum</t>
  </si>
  <si>
    <t>http://64.58.71.185/fr_FR/proddetail/baby-products/naturals/id/8</t>
  </si>
  <si>
    <t>http://64.58.71.185/fr_FR/products/images/nt_gb_183_173_b.gif</t>
  </si>
  <si>
    <t>181156481-FR</t>
  </si>
  <si>
    <t>Pampers New Baby</t>
  </si>
  <si>
    <t>Notre  meilleure protection pour la peau des nouveau-nés. Chaque petit miracle mérite la meilleure protection, c'est pourquoi nos nouvelles couches New Baby sont à présent dotées d'un indicateur d’urine coloré. Il devient bleu quand bébé fait pipi pour vous signaler qu'il faut changer sa couche. Elles sont dotées du système Double Absorption exclusif, spécialement conçu pour absorber les selles molles des nouveau-nés et les garder bien au sec. Et elles sont maintenant encore plus douces pour apporter à votre bébé un confort et une protection exceptionnels. En complément, utilisez les nouvelles lingettes Sensitive Maximum Care, nos lingettes les plus douces pour une toilette Pampers tout en douceur de la peau délicate de votre bébé.</t>
  </si>
  <si>
    <t>http://dev.pampers.fr/Pampers-New-Baby</t>
  </si>
  <si>
    <t>http://dev.pampers.fr/fr_FR/images/pc/hb/lsp/products/prod_image_main_diaper_newbaby.png</t>
  </si>
  <si>
    <t>1-FR</t>
  </si>
  <si>
    <t>Couches Pampers Micro</t>
  </si>
  <si>
    <t>A la sortie de la maternité, les couches Pampers Micro sont conçues pour le change des bébés de petit poids et des prématurés. Dotée de toute la protection Pampers, la couche Pampers Micro s’adapte à la morphologie de bébés de petit poids (de 1 kg à 2,5 kg)</t>
  </si>
  <si>
    <t>http://64.58.71.185/fr_FR/proddetail/baby-products/micro/id/1/sectionid/0</t>
  </si>
  <si>
    <t>http://64.58.71.185/fr_FR/products/images/af_fr_183_173_b.gif</t>
  </si>
  <si>
    <t>181156483-FR</t>
  </si>
  <si>
    <t>Simply Dry</t>
  </si>
  <si>
    <t>Les couches Pampers Simply Dry sont une bonne solution pour les mamans qui veulent faire attention à leurs dépenses. Elles vous offrent l'absorption Pampers à un prix abordable, pour profiter pleinement des moments passés avec votre bébé sans vous ruiner.</t>
  </si>
  <si>
    <t>http://dev.pampers.fr/Simply-Dry</t>
  </si>
  <si>
    <t>http://dev.pampers.fr/fr_FR/images/pc/hb/lsp/products/prod_image_main_diaper_simplydry.png</t>
  </si>
  <si>
    <t>4015400549710, 4015400549741, 4015400549802, 4015400549833, 4015400549864, 4015400549895, 4015400549925, 4015400686484, 4015400687030, 4015400687054, 4015400687078</t>
  </si>
  <si>
    <t>PAMPERS</t>
  </si>
  <si>
    <t>Pampers</t>
  </si>
  <si>
    <t>8006540704615</t>
  </si>
  <si>
    <t>Active</t>
  </si>
  <si>
    <t>PAMPERS PP GEANT T3 X46</t>
  </si>
  <si>
    <t>https://fd12-courses.leclercdrive.fr/magasin-077201-077201-Ferte-Bernard/fiche-produits-205935-Couches-Pampers-Premium.aspx</t>
  </si>
  <si>
    <t>8700216263764</t>
  </si>
  <si>
    <t>PAMPERS BABY DRY MAXI T6 X78</t>
  </si>
  <si>
    <t>https://fd9-courses.leclercdrive.fr/magasin-010901-010901-Saint-Jean-du-Falga/fiche-produits-212904-Couches-Pampers-Baby-Dry.aspx</t>
  </si>
  <si>
    <t>https://fd9-photos.leclercdrive.fr/image.ashx?id=2696438&amp;use=d&amp;cat=p&amp;typeid=i</t>
  </si>
  <si>
    <t>PAMPERS_SENSITIVE_ZERO_PLASTIQUE_LINGETTES</t>
  </si>
  <si>
    <t>Pampers® Sensitive 0% Plastique</t>
  </si>
  <si>
    <t>https://www.pampers.fr/couches-et-lingettes/pampers-sensitive-zero-plastique-lingettes</t>
  </si>
  <si>
    <t>https://images.ctfassets.net/g4icgs65at4c/5zaINWN2mqjmpFe4O5x1Nk/62ce5ee0531349ac2d409be41161ef71/200x200_pampersSensitive_wipes.png</t>
  </si>
  <si>
    <t>8006540523056, 8006540523087, 8006540523124</t>
  </si>
  <si>
    <t>8006540715802</t>
  </si>
  <si>
    <t>PAMPERS BABY DRY GEANT T5 X39</t>
  </si>
  <si>
    <t>https://fd12-courses.leclercdrive.fr/magasin-077201-077201-Ferte-Bernard/fiche-produits-205853-Couches-Pampers-Baby-dry.aspx</t>
  </si>
  <si>
    <t>PPP-FRFR</t>
  </si>
  <si>
    <t>Pampers® Premium Protection™ Pants</t>
  </si>
  <si>
    <t>https://www.pampers.fr/couches-et-lingettes/pampers-premium-protection-pants-couches-culottes</t>
  </si>
  <si>
    <t>https://images.ctfassets.net/g4icgs65at4c/6Epbbb9TInXvKI9IMVqyzP/2491c83c3023dffa8f649a586bb55030/2099_44_Pampers_FR_PPPants_PDPUpdate_FEB24-PPP-324x286.png</t>
  </si>
  <si>
    <t>8001090184009, 8006540710074, 8006540710104, 8006540710135, 8006540710166, 8006540710197, 8006540710227, 8006540710357, 8006540710395, 8006540710418, 8006540710432, 8006540710456, 8006540710470, 8006540710494, 8006540710517, 8006540710531, 8006540759059, 8700216664332, 8700216679091, 8700216679107, 8700216679121, 8700216679176, 8700216679183, 8700216679268, 8700216679275, 8700216679312, 8700216679336, 8700216679381, 8700216679404, 8700216679466</t>
  </si>
  <si>
    <t>8006540704646</t>
  </si>
  <si>
    <t>PAMPERS PP GEANT T4 X39</t>
  </si>
  <si>
    <t>https://fd12-courses.leclercdrive.fr/magasin-077201-077201-Ferte-Bernard/fiche-produits-202858-Couches-Pampers-Premium.aspx</t>
  </si>
  <si>
    <t>8700216290951</t>
  </si>
  <si>
    <t>PAMPERS BD PANTS MAXI T5 X82</t>
  </si>
  <si>
    <t>https://fd12-courses.leclercdrive.fr/magasin-077201-077201-Ferte-Bernard/fiche-produits-223871-Couches-culottes-Pampers-Baby.aspx</t>
  </si>
  <si>
    <t>8700216251327</t>
  </si>
  <si>
    <t>PAMPERS HARMONIE GEANT T4 X36</t>
  </si>
  <si>
    <t>https://fd12-courses.leclercdrive.fr/magasin-077201-077201-Ferte-Bernard/fiche-produits-223903-Couches-Pampers-Harmonie.aspx</t>
  </si>
  <si>
    <t>active-fit-pants-FR</t>
  </si>
  <si>
    <t>COUCHES-CULOTTES Pampers Active Fit Pants</t>
  </si>
  <si>
    <t>https://www.pampers.fr/produits/pampers-premium-active-fit-pants-couches-culottes</t>
  </si>
  <si>
    <t>http://azcdn.multibrand.pgsitecore.com/fr-FR/-/media/Pampers/Pampers-FR/Images/Products/Product-Oasis/Closed-Module/Active-Fit-Pants/ClosedModule-ActiveFitsPants-FR.png?v=3-201803140534</t>
  </si>
  <si>
    <t>8006540715734</t>
  </si>
  <si>
    <t>PAMPERS BABY DRY GEANT T4 X45</t>
  </si>
  <si>
    <t>https://fd12-courses.leclercdrive.fr/magasin-077201-077201-Ferte-Bernard/fiche-produits-205941-Couches-Pampers-Baby-dry.aspx</t>
  </si>
  <si>
    <t>8006540780350</t>
  </si>
  <si>
    <t>PAMPERS PP NB GEANT T1  X42</t>
  </si>
  <si>
    <t>https://fd12-courses.leclercdrive.fr/magasin-077201-077201-Ferte-Bernard/fiche-produits-205945-Couches-Pampers-Premium.aspx</t>
  </si>
  <si>
    <t>8700216263795</t>
  </si>
  <si>
    <t>PAMPERS BABY DRY MAXI T5 X90</t>
  </si>
  <si>
    <t>https://fd12-courses.leclercdrive.fr/magasin-077201-077201-Ferte-Bernard/fiche-produits-223862-Couches-Pampers-Baby-Dry-Maxi.aspx</t>
  </si>
  <si>
    <t>https://fd12-photos.leclercdrive.fr/image.ashx?id=2685479&amp;use=d&amp;cat=p&amp;typeid=i</t>
  </si>
  <si>
    <t>PAMPERS_BABY_DRY_NIGHT_PANTS</t>
  </si>
  <si>
    <t>Pampers® Baby-Dry™ Night Pants</t>
  </si>
  <si>
    <t>https://www.pampers.fr/couches-et-lingettes/pampers-baby-dry-night-pants</t>
  </si>
  <si>
    <t>https://images.ctfassets.net/g4icgs65at4c/6Qudm6RtfxEqaVFcqLQR5r/8ea9327f35f8bfb5c333ff00565d73f7/2099_48_Pampers_FR_BDYNP_PDPUpdate_FEB24-BDNP-324x286.png</t>
  </si>
  <si>
    <t>8006540234792, 8006540234853, 8006540710739, 8006540710975, 8006540711309, 8006540711569, 8006540711828, 8006540711910, 8700216669696, 8700216669764, 8700216669795, 8700216669887</t>
  </si>
  <si>
    <t>11-FR</t>
  </si>
  <si>
    <t>Kandoo</t>
  </si>
  <si>
    <t>https://www.pampers.fr/produit-normal/kandoo</t>
  </si>
  <si>
    <t>http://cdn.multibrand.pgsitecore.com/fr-FR/-/media/Pampers/Pampers-FR/Images/Products/Primary/pampers-kandoo-refill-toilet-wipes-melon-50-630x330.png?v=1-201505060814</t>
  </si>
  <si>
    <t>4015400192381, 4015400192787, 4015400192930</t>
  </si>
  <si>
    <t>8006540715697</t>
  </si>
  <si>
    <t>PAMPERS BABY DRY GEANT T3 X52</t>
  </si>
  <si>
    <t>https://fd12-courses.leclercdrive.fr/magasin-077201-077201-Ferte-Bernard/fiche-produits-205942-Couches-Pampers-Baby-dry.aspx</t>
  </si>
  <si>
    <t>6-FR</t>
  </si>
  <si>
    <t>Pampers® Sensitive™</t>
  </si>
  <si>
    <t>https://www.pampers.fr/couches-et-lingettes/pampers-sensitive-lingettes</t>
  </si>
  <si>
    <t>https://images.ctfassets.net/g4icgs65at4c/1Jt1ydaFV2AP8pN9M47fy5/6ffaf5a9cc7f7ca1e12509229a5a864f/2099_63_Pampers_FR_Sensitive_Wipes_PDP_APR24-wipes-sensitive-324x286.png</t>
  </si>
  <si>
    <t>8001841041391, 8001841041483, 8001841062556, 8001841062624, 8001841063188</t>
  </si>
  <si>
    <t>Pampers® Fresh Clean</t>
  </si>
  <si>
    <t>https://www.pampers.fr/couches-et-lingettes/pampers-fresh-clean-lingettes</t>
  </si>
  <si>
    <t>https://images.ctfassets.net/g4icgs65at4c/1ihhKZiaU9XtyqblumvJZx/b452707c9897b62f37349b9895d79541/2099_66_Pampers_FR_Fresh_Clean_Wipes_PDP_APR24-freshclean-324x286.png</t>
  </si>
  <si>
    <t>4015400622567, 8001841041360, 8001841077598, 8001841077864, 8001841077949, 8001841078441, 8001841078496</t>
  </si>
  <si>
    <t>NBPP-FRFR</t>
  </si>
  <si>
    <t>COUCHES Pampers Premium Protection</t>
  </si>
  <si>
    <t>https://www.pampers.fr/produits/pampers-premium-protection-new-baby-couches</t>
  </si>
  <si>
    <t>https://res.cloudinary.com/pmprs/image/upload/c_scale,f_auto,q_60/v20191203225559/pampersc1/fr-fr/-/media/pampers/pampers-fr/images/products/product-oasis/closed-module/premium-protection-nb/closedmodule-premiumprotectionnb-fr.png?v=4-201904191351</t>
  </si>
  <si>
    <t>4015400557425, 4015400599425, 4015400599517, 4015400599548, 4015400599685, 4015400639015, 4015400701569, 4015400835646, 4015400835776, 4015400835851, 4015400835974, 4015400836025, 4015400849087, 4015400849155, 8001841057842, 8001841057866, 8718969860550</t>
  </si>
  <si>
    <t>PAMPERS_HARMONIE_HYBRIDE</t>
  </si>
  <si>
    <t>Couches Pampers® Harmonie Hybrid</t>
  </si>
  <si>
    <t>https://www.pampers.fr/couches-et-lingettes/pampers-harmonie-hybrid-old</t>
  </si>
  <si>
    <t>https://images.ctfassets.net/g4icgs65at4c/zMpKbvNe5sfLotMzhivSQ/f8fa23163c381b2e7119cbabbf666497/200x200_pampersHybrid_probeerkit.png</t>
  </si>
  <si>
    <t>8006540284254, 8006540284407, 8006540297933, 8006540297995, 8006540298022, 8006540354094, 8006540354155</t>
  </si>
  <si>
    <t>8700216207263</t>
  </si>
  <si>
    <t>PAMPERS PP MAXI T4 X86</t>
  </si>
  <si>
    <t>https://fd12-courses.leclercdrive.fr/magasin-077201-077201-Ferte-Bernard/fiche-produits-223899-Couches-Pampers-Premium.aspx</t>
  </si>
  <si>
    <t>https://fd12-photos.leclercdrive.fr/image.ashx?id=2737827&amp;use=d&amp;cat=p&amp;typeid=i</t>
  </si>
  <si>
    <t>8700216207645</t>
  </si>
  <si>
    <t>PAMPERS PP NB PAQUET T1 X24</t>
  </si>
  <si>
    <t>https://fd12-courses.leclercdrive.fr/magasin-077201-077201-Ferte-Bernard/fiche-produits-206094-Coucjes-Pampers-Premium.aspx</t>
  </si>
  <si>
    <t>8700216263832</t>
  </si>
  <si>
    <t>PAMPERS BABY DRY MAXI T4 X106</t>
  </si>
  <si>
    <t>https://fd12-courses.leclercdrive.fr/magasin-077201-077201-Ferte-Bernard/fiche-produits-223864-Couches-Pampers-Baby-dry-Maxi.aspx</t>
  </si>
  <si>
    <t>8006540704677</t>
  </si>
  <si>
    <t>PAMPERS PP GEANT T5 X34</t>
  </si>
  <si>
    <t>https://fd12-courses.leclercdrive.fr/magasin-077201-077201-Ferte-Bernard/fiche-produits-202859-Couches-Pampers-Premium.aspx</t>
  </si>
  <si>
    <t>8700216207287</t>
  </si>
  <si>
    <t>PAMPERS PP MAXI T3 X102</t>
  </si>
  <si>
    <t>https://fd12-courses.leclercdrive.fr/magasin-077201-077201-Ferte-Bernard/fiche-produits-205636-Couches-Pampers.aspx</t>
  </si>
  <si>
    <t>FR-af2</t>
  </si>
  <si>
    <t>COUCHES   Pampers Premium Protection Active Fit</t>
  </si>
  <si>
    <t>https://www.pampers.fr/produits/pampers-premium-protection-active-fit-couches</t>
  </si>
  <si>
    <t>http://cdn.multibrand.pgsitecore.com/fr-FR/-/media/Pampers/Pampers-FR/Images/Banner/PG_5052_PampersFR_Packshot_PP_S4.jpg?h=150&amp;w=150&amp;v=1-201803151411&amp;hash=D6B4C2A21A138CBA16345250E87BB0901EDDFFE4&amp;crop=1&amp;sc=0</t>
  </si>
  <si>
    <t>4015400598947, 4015400599180, 4015400599241, 4015400599272, 4015400599302, 4015400617778, 4015400618898, 4015400618928, 4015400618959, 4015400619543, 4015400619604, 4015400619635, 4015400619666, 4015400619697, 4015400622543, 4015400696346, 4015400696377, 4015400696407, 4015400696438, 4015400696469, 4015400696506, 4015400696582, 4015400696629, 4015400696667, 4015400697374, 4015400697459, 4015400697497, 4015400697572, 4015400697664, 4015400697701, 4015400697763, 4015400697947, 4015400699422, 4015400763406, 4015400763437, 4015400763529, 4015400763604, 4015400764182, 4015400764229, 4015400764274, 4015400897453, 4015400897538</t>
  </si>
  <si>
    <t>Pampers_Splashers</t>
  </si>
  <si>
    <t>Pampers® Splashers Baby Shark™</t>
  </si>
  <si>
    <t>https://www.pampers.fr/couches-et-lingettes/pampers-splashers-baby-shark</t>
  </si>
  <si>
    <t>https://images.ctfassets.net/g4icgs65at4c/7JjnlAK2PSIwVBU38HqGyl/820019c089828548b65dbc4532f50205/2099_65_Pampers_FR_Splashers_PDP_Update_APR24-SPLASHERS-324x286.png</t>
  </si>
  <si>
    <t>8001090698346, 8001090698384, 8001090728951</t>
  </si>
  <si>
    <t>8006540715772</t>
  </si>
  <si>
    <t>PAMPERS BABY DRY GEANT T4+ X40</t>
  </si>
  <si>
    <t>https://fd12-courses.leclercdrive.fr/magasin-077201-077201-Ferte-Bernard/fiche-produits-205940-Couches-Pampers-Baby-dry.aspx</t>
  </si>
  <si>
    <t>8006540711026</t>
  </si>
  <si>
    <t>PAMPERS BD PANTS GEANT T6 X32</t>
  </si>
  <si>
    <t>https://fd12-courses.leclercdrive.fr/magasin-077201-077201-Ferte-Bernard/fiche-produits-202876-Couches-Pampers-Baby-Dry-.aspx</t>
  </si>
  <si>
    <t>PAMPERS_NATURAL_CLEAN</t>
  </si>
  <si>
    <t>LINGETTES Pampers Natural Clean</t>
  </si>
  <si>
    <t>https://www.pampers.fr/produits/pampers-natural-clean-lingettes</t>
  </si>
  <si>
    <t>http://azcdn.multibrand.pgsitecore.com/fr-FR/-/media/Pampers/Pampers-FR/Images/Products/Product-Oasis/Closed-Module/Wipes-Sensitive/Closedmodule-Wipes-Sensitive-FR.png?v=3-201904041307</t>
  </si>
  <si>
    <t>4015400622413</t>
  </si>
  <si>
    <t>PROTECTION-ACTIVE-FIT-COUCHES-ID</t>
  </si>
  <si>
    <t>COUCHES Pampers Premium Protection Active Fit</t>
  </si>
  <si>
    <t>http://azcdn.multibrand.pgsitecore.com/fr-FR/-/media/Pampers/Pampers-FR/Images/Banner/PG_5052_PampersFR_Packshot_PP_S4.jpg?h=150&amp;w=150&amp;v=1-201803151411&amp;hash=D6B4C2A21A138CBA16345250E87BB0901EDDFFE4&amp;crop=1&amp;sc=0</t>
  </si>
  <si>
    <t>8700216207317</t>
  </si>
  <si>
    <t>PAMPERS PP MAXI T5 X76</t>
  </si>
  <si>
    <t>https://fd12-courses.leclercdrive.fr/magasin-077201-077201-Ferte-Bernard/fiche-produits-223901-Couches-Pampers-Premium.aspx</t>
  </si>
  <si>
    <t>https://fd12-photos.leclercdrive.fr/image.ashx?id=2737830&amp;use=d&amp;cat=p&amp;typeid=i</t>
  </si>
  <si>
    <t>181155344-FR</t>
  </si>
  <si>
    <t>Pampers Premium Protection New Baby Sensitive</t>
  </si>
  <si>
    <t>https://www.pampers.fr/produit-normal/pampers-new-baby-sensitive</t>
  </si>
  <si>
    <t>http://cdn.multibrand.pgsitecore.com/fr-FR/-/media/Pampers/Pampers-FR/Images/Products/Primary/pampers-new-baby-sensitive-size1-carrypack-23nappies-630x330.png?v=1-201511051516</t>
  </si>
  <si>
    <t>4015400611356, 4015400635109, 4015400635178, 4015400635215</t>
  </si>
  <si>
    <t>8001841041360</t>
  </si>
  <si>
    <t>PAMPERS LINGETTES FRESHCLEAN 1X52</t>
  </si>
  <si>
    <t>https://fd12-courses.leclercdrive.fr/magasin-077201-077201-Ferte-Bernard/fiche-produits-114099-Lingettes-Pampers.aspx</t>
  </si>
  <si>
    <t>8006540630549</t>
  </si>
  <si>
    <t>PAMPERS NINJAMAS T7 GIRL x10</t>
  </si>
  <si>
    <t>https://fd5-courses.leclercdrive.fr/magasin-982001-982001-Grand-Ajaccio-Baleone/fiche-produits-187460-Sous-vetements-de-nuit-Ninjamas.aspx</t>
  </si>
  <si>
    <t>https://fd5-photos.leclercdrive.fr/image.ashx?id=2507211&amp;use=d&amp;cat=p&amp;typeid=i</t>
  </si>
  <si>
    <t>12-FR2</t>
  </si>
  <si>
    <t>Pampers® Sleep &amp; Play</t>
  </si>
  <si>
    <t>https://www.pampers.fr/produit-plus/pampers-sleep-and-play</t>
  </si>
  <si>
    <t>http://cdn.multibrand.pgsitecore.com/fr-FR/-/media/Pampers/Pampers-FR/Images/Products/Product-Plus/Sleep-play/packshot-sleep-and-play-630x330.jpg?h=330&amp;w=630&amp;v=1-201706211041&amp;hash=0DAE2DECF7B400FCB8DCA01E0FB603AC890E264C&amp;crop=1&amp;sc=0</t>
  </si>
  <si>
    <t>4015400885399, 4015400886570, 4015400887096, 4015400887140, 4015400887539, 4015400887980, 4015400888086, 4015400888130, 4015400888369, 4015400890300, 4015400890348</t>
  </si>
  <si>
    <t>Pampers_Harmonie_Aqua_0_plastic</t>
  </si>
  <si>
    <t>Pampers® Harmonie Aqua 0% Plastique</t>
  </si>
  <si>
    <t>https://www.pampers.fr/couches-et-lingettes/pampers-harmonie-aqua-0-plastique-lingettes</t>
  </si>
  <si>
    <t>https://images.ctfassets.net/g4icgs65at4c/7LL9sd1LRjhJSu6bFV1Gxl/dd41c8d1647c143df8d1ae7747a43ad1/2099_51_Pampers_FR_HarmonieAquaWipes_PDPUpdate_FEB24-Wipes_HARAQUA-324x286.png</t>
  </si>
  <si>
    <t>8006540458495, 8006540458525, 8006540458563, 8006540510247</t>
  </si>
  <si>
    <t>Pampers_coco_harmonie</t>
  </si>
  <si>
    <t>Pampers® Harmonie Protect &amp; Care</t>
  </si>
  <si>
    <t>https://www.pampers.fr/couches-et-lingettes/pampers-harmonie-protect-et-care-lingettes</t>
  </si>
  <si>
    <t>https://images.ctfassets.net/g4icgs65at4c/13wrvRkBrYYlcusvPcgNzm/d24d9e16832566ff0131bec6e0a71f16/2099_49_Pampers_FR_WipesProtect_Care_PDPUpdate_FEB24-Wipes_Protect_Care-324x286.png</t>
  </si>
  <si>
    <t>8001841708744, 8001841708805, 8006540810286, 8006540810361, 8006540815533</t>
  </si>
  <si>
    <t>Pampers_harmonie_new_baby</t>
  </si>
  <si>
    <t>Pampers® Harmonie New Baby</t>
  </si>
  <si>
    <t>https://www.pampers.fr/couches-et-lingettes/pampers-harmonie-new-baby-lingettes</t>
  </si>
  <si>
    <t>https://images.ctfassets.net/g4icgs65at4c/1V2wrxXJAuLoBxQXdlNsnV/ec27f90fb64c4eb00f4272bd98510598/2099_50_Pampers_FR_NewBabyWipes_PDPUpdate_FEB24-Wipes_NewBaby-324x286.png</t>
  </si>
  <si>
    <t>8006540815762, 8006540815885, 8006540815953, 8700216201025</t>
  </si>
  <si>
    <t>8700216263849</t>
  </si>
  <si>
    <t>PAMPERS BABY DRY MAXI T3 X124</t>
  </si>
  <si>
    <t>https://fd12-courses.leclercdrive.fr/magasin-077201-077201-Ferte-Bernard/fiche-produits-223865-Couches-Pampers-Baby-dry-Maxi.aspx</t>
  </si>
  <si>
    <t>8006540458563</t>
  </si>
  <si>
    <t>PAMPERS LINGETTES HARMONIE AQUA 0% PLASTIC 1X48</t>
  </si>
  <si>
    <t>https://fd12-courses.leclercdrive.fr/magasin-077201-077201-Ferte-Bernard/fiche-produits-186265-Lingettes-bebe-Harmonie-Aqua.aspx</t>
  </si>
  <si>
    <t>8006540704707</t>
  </si>
  <si>
    <t>PAMPERS PP GEANT T6 X30</t>
  </si>
  <si>
    <t>https://fd12-courses.leclercdrive.fr/magasin-077201-077201-Ferte-Bernard/fiche-produits-202873-Couches-Pampers-Protection.aspx</t>
  </si>
  <si>
    <t>8006540710166</t>
  </si>
  <si>
    <t>PAMPERS PP PANTS GEANT T4 X31</t>
  </si>
  <si>
    <t>https://fd12-courses.leclercdrive.fr/magasin-077201-077201-Ferte-Bernard/fiche-produits-205934-Culottes-Pampers-Premium-P.aspx</t>
  </si>
  <si>
    <t>FR-NB</t>
  </si>
  <si>
    <t>Pampers® Premium Protection™</t>
  </si>
  <si>
    <t>https://www.pampers.fr/couches-et-lingettes/pampers-premium-protection-couches</t>
  </si>
  <si>
    <t>https://images.ctfassets.net/g4icgs65at4c/2aDirsHDwT4RYlA2MfgriT/859bc84850ba377113988008c6356954/2099_43_Pampers_FR_PPTaped_PDPUpdate_FEB24-PP-324x286_.png</t>
  </si>
  <si>
    <t>4015400855293, 4015400855323, 4015400855354, 8001090288011, 8006540469071, 8006540704370, 8006540704400, 8006540704431, 8006540704462, 8006540704493, 8006540704523, 8006540704585, 8006540704615, 8006540704646, 8006540704677, 8006540704707, 8006540705025, 8006540705056, 8006540705087, 8006540705117, 8006540705148, 8006540705179, 8006540705209, 8006540705230, 8006540705261, 8006540705292, 8006540705322, 8006540705513, 8006540705575, 8006540705612, 8006540705643, 8006540705674, 8006540766453, 8006540766477, 8006540766491, 8006540766514, 8006540780350, 8700216417990, 8700216418195, 8700216664431, 8700216664448, 8700216664479, 8700216664509, 8700216664547, 8700216664554, 8700216664585, 8700216664615, 8700216664622, 8700216664677, 8700216664684, 8700216664721, 8700216664752, 8700216664769, 8700216664776, 8700216664844, 8700216664851, 8700216664899, 8700216664905, 8700216664936, 8700216664981, 8700216665001, 8700216665032, 8700216665056, 8700216665100, 8700216665117, 8700216665162, 8700216665193, 8700216665216, 8700216665261, 8700216665285, 8700216665308, 8700216679015, 8700216679435</t>
  </si>
  <si>
    <t>8700216290937</t>
  </si>
  <si>
    <t>PAMPERS BD PANTS MAXI T4 X90</t>
  </si>
  <si>
    <t>https://fd12-courses.leclercdrive.fr/magasin-077201-077201-Ferte-Bernard/fiche-produits-223866-Couches-culottes-Pampers-Baby-.aspx</t>
  </si>
  <si>
    <t>Babydry-FR</t>
  </si>
  <si>
    <t>Pampers® Baby-Dry™ Pants</t>
  </si>
  <si>
    <t>https://www.pampers.fr/couches-et-lingettes/pampers-baby-dry-pants-couches-culottes</t>
  </si>
  <si>
    <t>https://images.ctfassets.net/g4icgs65at4c/5aEhd13LAsMzgS7G58IprZ/40b2abbf48fcd005c827b188b441f673/2099_40_Pampers_FR_BDYPants_PDPUpdate_FEB24-BDYP-324x286.png</t>
  </si>
  <si>
    <t>4015400566748, 4015400566892, 4015400689614, 4015400744917, 4015400744948, 4015400749646, 4015400833079, 4015400833154, 4015400833918, 4015400833987, 4015400834083, 4015400834113, 4015400834168, 4015400834960, 4015400841043, 4015400844297, 4015400855293, 8001090298300, 8001090336354, 8001090336491, 8001090336606, 8001090368553, 8001090672124, 8001090672414, 8001090672520, 8001841477459, 8001841477480, 8001841477862, 8006540704431, 8006540704615, 8006540705087, 8006540705230, 8006540705575, 8006540710791, 8006540710999, 8006540711057, 8006540711156, 8006540711385, 8006540711408, 8006540711521, 8006540711590, 8006540711668, 8006540711682, 8006540711781, 8006540711873, 8006540711941, 8006540715345, 8006540715376, 8006540715475, 8006540715567, 8006540715772, 8006540715871, 8006540715918, 8006540715949, 8006540766453, 8006540783108, 8006540783146, 8006540783269, 8006540785065, 8006540785133, 8006540785164, 8006540785188, 8006540792520, 8006540792582, 8006540792643, 8006540792667, 8006540792704, 8006540792766, 8006540792803, 8006540798195, 8006540798447, 8006540798546, 8006540798713, 8700216291149, 8700216595629, 8700216595643, 8700216595667, 8700216595681, 8700216595704, 8700216595728, 8700216595759, 8700216595773, 8700216595810, 8700216595841, 8700216595858, 8700216596596, 8700216596633, 8700216596671, 8700216596701, 8700216596725, 8700216664585, 8700216664721, 8700216664844, 8700216665162, 8700216665261, 8700216665285, 8700216670371, 8700216670401, 8700216670418, 8700216670463, 8700216670500, 8700216670517, 8700216670531, 8700216670555, 8700216670593, 8700216670609, 8700216670630, 8700216670685, 8700216713139, 8700216713160, 8700216713214, 8700216713238, 8700216713306, 8700216713351, 8700216754149, 8700216754156, 8700216754224, 8700216754293, 8700216754361, 8700216793353, 8700216812368, 8700216812382, 8700216812405, 8700216812436, 8700216812474, 8700216812481, 8700216812559, 8700216812580, 8700216812610, 8700216812641, 8700216812658, 8700216812726, 8700216812733</t>
  </si>
  <si>
    <t>8006540710197</t>
  </si>
  <si>
    <t>PAMPERS PP PANTS GEANT T5 X29</t>
  </si>
  <si>
    <t>https://fd12-courses.leclercdrive.fr/magasin-077201-077201-Ferte-Bernard/fiche-produits-202874-Couches-culottes-Pampers-.aspx</t>
  </si>
  <si>
    <t>8006540711873</t>
  </si>
  <si>
    <t>PAMPERS BD PANTS GEANT T5 X37</t>
  </si>
  <si>
    <t>https://fd12-courses.leclercdrive.fr/magasin-077201-077201-Ferte-Bernard/fiche-produits-202880-Couches-Pampers-Baby-Dry.aspx</t>
  </si>
  <si>
    <t>FR-14</t>
  </si>
  <si>
    <t>Pampers® Baby-Dry Pants™</t>
  </si>
  <si>
    <t>https://www.pampers.fr/couches-et-lingettes/pampers-baby-dry-pants-couches-culottes-old</t>
  </si>
  <si>
    <t>https://images.ctfassets.net/g4icgs65at4c/1pH3jjXH8XKzRDOiiX4lA0/ee92bd607c468f3d281333647b8883b3/2099_40_Pampers_FR_BDYPants_PDPUpdate_FEB24-BDYP-324x286.png</t>
  </si>
  <si>
    <t>4015400744917, 4015400744948, 4015400749646, 4015400841043, 4015400841593, 8001841461236, 8001841477459, 8001841477480, 8001841477862, 8006540406144, 8006540406793, 8006540443095, 8006540461884, 8006540710555, 8006540710623, 8006540710654, 8006540710678, 8006540710791, 8006540710845, 8006540710999, 8006540711026, 8006540711057, 8006540711088, 8006540711279, 8006540711408, 8006540711446, 8006540711521, 8006540711590, 8006540711668, 8006540711682, 8006540711781, 8006540711873, 8006540711941, 8006540798195, 8006540798218, 8006540798447, 8006540798546, 8006540798645, 8006540798713, 8700216595629, 8700216595667, 8700216595681, 8700216595728, 8700216595773, 8700216595841, 8700216596633, 8700216596701, 8700216670463, 8700216670500, 8700216670531, 8700216670555, 8700216670609, 8700216670630</t>
  </si>
  <si>
    <t>Pampers_harmonie_pants</t>
  </si>
  <si>
    <t>Pampers® Harmonie Pants</t>
  </si>
  <si>
    <t>https://www.pampers.fr/couches-et-lingettes/pampers-harmonie-couches-culottes</t>
  </si>
  <si>
    <t>https://images.ctfassets.net/g4icgs65at4c/2k9X0B4RJX21kBLtqJ4pw9/9e0da3e45f5e0df508e6c4a184c526e2/2099_47_Pampers_FR_HarmoniePants_PDPUpdate_FEB24-HARP-324x286.png</t>
  </si>
  <si>
    <t>8001841715551, 8006540121917, 8006540460733, 8006540627044, 8006540867952, 8006540867976, 8006540867990, 8006540929056, 8006540929087, 8006540929117, 8006540929148, 8006540929179, 8006540929209, 8006540929230, 8006540929261, 8006540929292, 8006540929322, 8006540929353, 8006540929384, 8700216705431, 8700216705486, 8700216705509, 8700216705547, 8700216705585, 8700216705615, 8700216705639, 8700216705660, 8700216705707</t>
  </si>
  <si>
    <t>8006540711521</t>
  </si>
  <si>
    <t>PAMPERS BD PANTS GEANT T4 X42</t>
  </si>
  <si>
    <t>https://fd12-courses.leclercdrive.fr/magasin-077201-077201-Ferte-Bernard/fiche-produits-202877-Couches-Pampers-Baby-Dry.aspx</t>
  </si>
  <si>
    <t>8006540715871</t>
  </si>
  <si>
    <t>PAMPERS BABY DRY GEANT T6 X34</t>
  </si>
  <si>
    <t>https://fd12-courses.leclercdrive.fr/magasin-077201-077201-Ferte-Bernard/fiche-produits-205943-Couches-Pampers-Baby-dry.aspx</t>
  </si>
  <si>
    <t>8700216251808</t>
  </si>
  <si>
    <t>PAMPERS HARMONIE GEANT T1 X22</t>
  </si>
  <si>
    <t>https://fd5-courses.leclercdrive.fr/magasin-982001-982001-Grand-Ajaccio-Baleone/fiche-produits-223911-Couches-Pampers-Harmonie-Geant.aspx</t>
  </si>
  <si>
    <t>Pampers®_Kids_Hygiene_On-The-Go</t>
  </si>
  <si>
    <t>Pampers® Kids Hygiene On-The-Go</t>
  </si>
  <si>
    <t>https://www.pampers.fr/couches-et-lingettes/pampers-kids-hygiene-lingettes</t>
  </si>
  <si>
    <t>https://images.ctfassets.net/g4icgs65at4c/71rd0zzKqLCqlnaM2K0486/149755e1f5d0da44951f75d23eaf081a/9730_Pampers_FBNL_mb.com_OverallAdaptations_SEP21_324x286_KH.png</t>
  </si>
  <si>
    <t>8006540222089, 8006540222102</t>
  </si>
  <si>
    <t>8006540630518</t>
  </si>
  <si>
    <t>PAMPERS NINJAMAS T7 BOY x10</t>
  </si>
  <si>
    <t>https://fd12-courses.leclercdrive.fr/magasin-077201-077201-Ferte-Bernard/fiche-produits-187253-Culottes-Ninjamas-.aspx</t>
  </si>
  <si>
    <t>https://fd12-photos.leclercdrive.fr/image.ashx?id=2530442&amp;use=d&amp;cat=p&amp;typeid=i</t>
  </si>
  <si>
    <t>8700216359122</t>
  </si>
  <si>
    <t>PAMPERS PP NB MAXI T1 X112</t>
  </si>
  <si>
    <t>https://fd12-courses.leclercdrive.fr/magasin-077201-077201-Ferte-Bernard/fiche-produits-205946-Couches-Pampers-Premium.aspx</t>
  </si>
  <si>
    <t>8700216290968</t>
  </si>
  <si>
    <t>PAMPERS BD PANTS MAXI T6 X70</t>
  </si>
  <si>
    <t>https://fd12-courses.leclercdrive.fr/magasin-077201-077201-Ferte-Bernard/fiche-produits-223872-Couches-culottes-Pampers-Baby.aspx</t>
  </si>
  <si>
    <t>https://fd12-photos.leclercdrive.fr/image.ashx?id=2685503&amp;use=d&amp;cat=p&amp;typeid=i</t>
  </si>
  <si>
    <t>PAMPERS_NINJAMAS_PYJAMA_PANTS</t>
  </si>
  <si>
    <t>PAMPERS® NINJAMAS PYJAMA PANTS</t>
  </si>
  <si>
    <t>https://www.pampers.fr/couches-et-lingettes/pampers-ninjamas-pyjama-pants-old</t>
  </si>
  <si>
    <t>https://images.ctfassets.net/g4icgs65at4c/6wNhYaM9zYaFA3aJ7R23jN/1f075e18d9e748c92d08a8de7b9b5314/2099_62_Pampers_FR_Ninjamas_PDP_Update_APR24-NINJ-324x286.png</t>
  </si>
  <si>
    <t>8006540630464, 8006540630488, 8006540630518, 8006540630549, 8006540630563, 8006540630587, 8006540630617, 8006540630648</t>
  </si>
  <si>
    <t>12-FR</t>
  </si>
  <si>
    <t>Pampers Simply Dry</t>
  </si>
  <si>
    <t>https://www.pampers.fr/produit-normal/pampers-simply-dry</t>
  </si>
  <si>
    <t>http://cdn.multibrand.pgsitecore.com/fr-FR/-/media/Pampers/Pampers-FR/Images/Products/Primary/pampers-simply-dry-size3-carrypack-30nappies-630x330.png?v=1-201506261330</t>
  </si>
  <si>
    <t>4015400549710, 4015400549741, 4015400549802, 4015400549833, 4015400549864, 4015400549925, 4015400686484, 4015400687030, 4015400687054, 4015400687078</t>
  </si>
  <si>
    <t>PAT_PATROUILLE_PANTS</t>
  </si>
  <si>
    <t>Pampers® Pat’Patrouille Pants™</t>
  </si>
  <si>
    <t>https://www.pampers.fr/couches-et-lingettes/pampers-pat-patrouille-pants</t>
  </si>
  <si>
    <t>https://images.ctfassets.net/g4icgs65at4c/2OSLyhMEHjCn0fnSowSODG/c262736e91236ae22555867552439a93/2099_64_Pampers_FR_PatPatrouille_Pants_PDP_Update_APR24-PAWP-324x286.png</t>
  </si>
  <si>
    <t>8006540710708, 8006540710876, 8006540711194, 8006540711248, 8006540711736, 8006540711767, 8006540861691, 8700216146654, 8700216146708, 8700216146715, 8700216614214, 8700216614252, 8700216614290</t>
  </si>
  <si>
    <t>181156501-FR</t>
  </si>
  <si>
    <t>LINGETTES Pampers New Baby Sensitive</t>
  </si>
  <si>
    <t>https://www.pampers.fr/produits/pampers-new-baby-sensitive-lingettes</t>
  </si>
  <si>
    <t>http://azcdn.multibrand.pgsitecore.com/fr-FR/-/media/Pampers/Pampers-FR/Images/Products/Product-Oasis/Closed-Module/Wipes-NB-Sensitive/Closedmodule-Wipes-NB-Sensitive_FR.png?v=2-201709221355</t>
  </si>
  <si>
    <t>4015400623496, 4015400623663</t>
  </si>
  <si>
    <t>PAMPERS_FR</t>
  </si>
  <si>
    <t>5-FR</t>
  </si>
  <si>
    <t>Pampers Baby Dry</t>
  </si>
  <si>
    <t>http://www.pampers.fr/produit-star/pampers-baby-dry</t>
  </si>
  <si>
    <t>4015400689218, 4015400689331, 4015400689416, 4015400689614, 4015400689652, 4015400696278, 4015400696872, 4015400705130, 4015400833260, 4015400833307, 4015400833338, 4015400833369, 4015400833390, 4015400833420, 4015400833444, 4015400833505, 4015400833550, 4015400833581, 4015400833628, 4015400833659, 4015400833765, 4015400833796, 4015400833826, 4015400833857, 4015400833871, 4015400833918, 4015400833956, 4015400833987, 4015400834021, 4015400834052, 4015400834083, 4015400834113, 4015400834144, 4015400834168, 4015400834205, 4015400834243, 4015400834274, 4015400834311, 4015400834335, 4015400834366, 4015400834397, 4015400834410, 4015400834458, 4015400834489, 4015400834748, 4015400834762, 4015400844006, 4015400844044, 4015400844082, 4015400844129, 4015400844150</t>
  </si>
  <si>
    <t>2-FR</t>
  </si>
  <si>
    <t>http://www.pampers.fr/produit-star/pampers-new-baby</t>
  </si>
  <si>
    <t>4015400599456, 4015400639015, 4015400835646, 4015400835776, 4015400835851, 4015400835936, 4015400836025, 4015400849087, 4015400849155, 4015400849193</t>
  </si>
  <si>
    <t>75</t>
  </si>
  <si>
    <t>Pampers Baby-Dry</t>
  </si>
  <si>
    <t>4015400542902, 4015400542940, 4015400543480, 4015400601876, 4015400602149, 4015400602170, 4015400602248, 4015400602309, 4015400602330, 4015400602361, 4015400625896, 4015400626428, 4015400646242, 4015400646341, 4015400646839, 4015400659921, 4015400659952, 4015400659976, 4015400689218, 4015400689263, 4015400689331, 4015400689416, 4015400689454, 4015400689492, 4015400689539, 4015400689614, 4015400689652, 4015400694458, 4015400694489, 4015400694502, 4015400694526, 4015400695578, 4015400695592, 4015400695615, 4015400695639, 4015400695653, 4015400695677, 4015400695691, 4015400695714, 4015400695769, 4015400695783, 4015400695806, 4015400695837, 4015400696155, 4015400696186, 4015400696216, 4015400696247, 4015400696278, 4015400696872, 4015400696933, 4015400705130, 4015400705161, 4015400729624, 4015400729655, 4015400729679, 4015400730804, 4015400730835</t>
  </si>
  <si>
    <t>4-FR</t>
  </si>
  <si>
    <t>Pampers Easy Up</t>
  </si>
  <si>
    <t>4015400293637, 4015400535690, 4015400535737, 4015400535805, 4015400535843, 4015400535881, 4015400535942, 4015400535973, 4015400536000, 4015400536086, 4015400536123, 4015400536178, 4015400536208, 4015400536239, 4015400536253, 4015400536277, 4015400536291</t>
  </si>
  <si>
    <t>FR-af1</t>
  </si>
  <si>
    <t>4015400557487, 4015400557517, 4015400557548, 4015400557579, 4015400598947, 4015400599180, 4015400599241, 4015400599272, 4015400599302, 4015400617693, 4015400617778, 4015400617792, 4015400618218, 4015400618232, 4015400618256, 4015400618270, 4015400618836, 4015400618898, 4015400618928, 4015400618959, 4015400622543, 4015400696315, 4015400696346, 4015400696377, 4015400696407, 4015400696438, 4015400696469, 4015400696506, 4015400696544, 4015400696582, 4015400696629, 4015400696667, 4015400697374, 4015400697459, 4015400697497, 4015400697572, 4015400697626, 4015400697664, 4015400697701, 4015400697763, 4015400697909, 4015400697947, 4015400699422, 4015400702481, 4015400702504, 4015400702528, 4015400702542</t>
  </si>
  <si>
    <t>3-FR</t>
  </si>
  <si>
    <t>http://www.pampers.fr/produit-star/pampers-active-fit</t>
  </si>
  <si>
    <t>4015400557456, 4015400557487, 4015400557517, 4015400557548, 4015400557579, 4015400702481, 4015400702504, 4015400702528, 4015400771333</t>
  </si>
  <si>
    <t>pampers-fr_fr</t>
  </si>
  <si>
    <t>Pampers_harmonie_couches</t>
  </si>
  <si>
    <t>Pampers® Harmonie</t>
  </si>
  <si>
    <t>https://www.pampers.fr/couches-et-lingettes/pampers-harmonie-couches</t>
  </si>
  <si>
    <t>https://images.ctfassets.net/g4icgs65at4c/7sCbWFgsgzb3SwB7IwyLn6/9d6a719c30e51419804a196eacdeafcc/2099_46_Pampers_FR_HarmonieTaped_PDPUpdate_FEB24-HAR-324x286.png</t>
  </si>
  <si>
    <t>8001090933294, 8001090933331, 8001090933393, 8001090933423, 8001090933430, 8001090933454, 8001090933492, 8001090933515, 8001090933607, 8001090933614, 8001090933645, 8001090933676, 8006540867808, 8006540867839, 8006540867860, 8006540867891, 8006540867921, 8006540929414, 8006540929445, 8006540929476, 8006540929506, 8006540929544, 8006540929575, 8006540929605, 8006540929636, 8006540929667, 8006540929698, 8006540929728, 8006540937778, 8006540937808, 8006540937853, 8006540937877, 8006540937914, 8006540938034, 8006540938058, 8006540938072, 8006540938126, 8006540938157, 8006540938188, 8006540938195, 8006540941294, 8006540941300, 8006540987230, 8700216251235, 8700216251259, 8700216668156, 8700216668194, 8700216668224, 8700216668231, 8700216668286, 8700216668323, 8700216668347, 8700216668378, 8700216668392, 8700216668446, 8700216668477, 8700216668484, 8700216668521, 8700216668545, 8700216668576, 8700216668606, 8700216668668, 8700216668675, 8700216668699, 8700216668729, 8700216668767, 8700216668798, 8700216678704, 8700216678728, 8700216678773</t>
  </si>
  <si>
    <t>Pampers_aqua_harmonie_lingettes</t>
  </si>
  <si>
    <t>Pampers® Harmonie Aqua</t>
  </si>
  <si>
    <t>https://www.pampers.fr/couches-et-lingettes/pampers-aqua-harmonie-lingettes</t>
  </si>
  <si>
    <t>https://images.ctfassets.net/g4icgs65at4c/1KTbKP7NtjM76xG9vnfRu1/5dac234f150178d90fb615999d9b9a40/2099_51_Pampers_FR_HarmonieAquaWipes_PDPUpdate_FEB24-Wipes_HARAQUA-324x286.png</t>
  </si>
  <si>
    <t>8001090934444, 8001090934482, 8001090934529, 8006540458525, 8006540458563, 8006540510247, 8006540556139, 8006540811245, 8006540811276</t>
  </si>
  <si>
    <t>181082376-FR</t>
  </si>
  <si>
    <t>{58F048B9-3836-46E2-8040-DC554AA22699}</t>
  </si>
  <si>
    <t>pampers-premium-protection-new-baby-couches</t>
  </si>
  <si>
    <t>8006540469071</t>
  </si>
  <si>
    <t>241044174</t>
  </si>
  <si>
    <t>PAMPERS_PREMIUM_PROTECTION_NEW_BABY_WIPES</t>
  </si>
  <si>
    <t>171074135-GB</t>
  </si>
  <si>
    <t>171074134-GB</t>
  </si>
  <si>
    <t>2-UK</t>
  </si>
  <si>
    <t>8001841077789, 8001841077598, 8001841078052, 8001841276007, 8001841078137, 8001841078441, 8001841077949, 8001841078496, 8001841041360</t>
  </si>
  <si>
    <t>https://images.ctfassets.net/3shtzlb7cz90/6RDoT3S9z87DOK2OK6O73U/9dd86e111337904dd346100567ab0149/2146_38_Pampers_UK_Fresh_Clean_Wipes_PDP_MAR24_benefit2A_mobile_165x165.png</t>
  </si>
  <si>
    <t>https://www.pampers.co.uk/products/pampers-fresh-clean</t>
  </si>
  <si>
    <t>PAMPERS_FRESH_CLEAN</t>
  </si>
  <si>
    <t>pampers-en_gb</t>
  </si>
  <si>
    <t>https://images.ctfassets.net/3shtzlb7cz90/1YjQuCWgqXJdxahUSr90Rj/08af74edfad5a09b25152a98ff937f25/1026_63_Pampers_FR_Splashers_UpdatePDP_MAR23_324x286.png</t>
  </si>
  <si>
    <t>https://www.pampers.co.uk/products/pampers-splashers</t>
  </si>
  <si>
    <t>PAMPERS_SPLASHERS</t>
  </si>
  <si>
    <t>8001841808499, 8001841808550, 8001841808611, 8001841808680, 8001841808741, 8001841808772, 8001841808833, 8001841808901, 8001841809038, 8001841809052, 8001841809076, 8700216038379, 8700216038393, 8700216038416, 8700216038560, 8700216038591, 8700216038607</t>
  </si>
  <si>
    <t>https://images.ctfassets.net/3shtzlb7cz90/4f996eb73e5afe297516099754e8dd5a27fffbae1ebb29bd5321bc0afb1d984c/5680a8575dcb1402507d6cf4e43e4d73/PROJ024724-P_G-Pampers-Standard-Packshot-4-324x286-v0.01.png</t>
  </si>
  <si>
    <t>https://www.pampers.co.uk/products/pampers-active-fit-nappies</t>
  </si>
  <si>
    <t>Pampers® Active Fit</t>
  </si>
  <si>
    <t>PAMPER_ACTIVE_FIT</t>
  </si>
  <si>
    <t>8006540867921, 8006540156599, 8700216251716, 8006540156476, 8001841023120, 8006540156353, 8001841115979, 8001090834904, 8700216251792, 8700216251259, 8700216251235, 8700216251754, 8001090834843, 8006540156414, 8006540156636, 8001090834720, 8001841115917, 8006540156674, 8700216251679, 8001090834966, 8006540156551, 8001090834782, 8001841116037, 8001090971982, 8006540867808, 8006540867891, 8006540156384, 8001090972026, 8700216251686, 8006540156155, 8006540156445</t>
  </si>
  <si>
    <t>https://images.ctfassets.net/3shtzlb7cz90/75smodrmOcXB8T6YTP4Env/6dff3465f7ce8ba7d33fd95e2f3e6d96/2146_59_Pampers_UK_Harmonie_Pants_Packshot_Update_JUN24_harmonie__1_.png</t>
  </si>
  <si>
    <t>https://www.pampers.co.uk/products/pampers-harmonie-nappies</t>
  </si>
  <si>
    <t>Pure_Protection_Nappies</t>
  </si>
  <si>
    <t>4015400621966, 4015400622079, 4015400622116, 4015400622284, 4015400630791, 4015400670414</t>
  </si>
  <si>
    <t>Pampers Sensitive Baby Wipes Perfume Free</t>
  </si>
  <si>
    <t>20150226-GB</t>
  </si>
  <si>
    <t>PAMPERS_UK</t>
  </si>
  <si>
    <t>8001090603296, 8001090603326, 8001090603388, 8001090603470, 8001090603500, 8001090603562, 8001090603609, 8001090603623, 8001090603661</t>
  </si>
  <si>
    <t>https://images.ctfassets.net/3shtzlb7cz90/7K9ioh7Kn65yUDoGPRQfOm/6af2ad8a93078f6e4ffb80277bb5b7a4/Pampers-Aqua-Pure-280x195.png</t>
  </si>
  <si>
    <t>https://www.pampers.co.uk/products/pampers-aqua-pure-wipes</t>
  </si>
  <si>
    <t>Pampers® Aqua Pure™</t>
  </si>
  <si>
    <t>Aqua_Pure_Wipes</t>
  </si>
  <si>
    <t>4015400535942, 4015400535973, 4015400536000, 4015400536031, 4015400536062, 4015400536239, 4015400536253, 4015400605232, 4015400605256</t>
  </si>
  <si>
    <t>Pampers Easy Up Pants</t>
  </si>
  <si>
    <t>171074136-GB</t>
  </si>
  <si>
    <t>8006540523056, 8006540523100, 8006540523124, 8700216783491</t>
  </si>
  <si>
    <t>https://images.ctfassets.net/3shtzlb7cz90/blYUTMacSopZ379S4BFYj/836326cdd5a87669e5c80f4c0cb9a87b/2146_47_Pampers_UK_Sensitive_Zero_Plastic_PDP_APR24-Packshot.png</t>
  </si>
  <si>
    <t>https://www.pampers.co.uk/products/pampers-sensitive-0-plastic</t>
  </si>
  <si>
    <t>Pampers® Sensitive™ 0% Plastic</t>
  </si>
  <si>
    <t>PAMPERS_SENSITIVE_PLASTIC_FREE</t>
  </si>
  <si>
    <t>8006530098366, 8006530098403, 8006530098441</t>
  </si>
  <si>
    <t>https://images.ctfassets.net/2ql69mthp94m/DQNSPkrMy14kCeTQl0CTf/261aa691b6d04f318708f440ebdef687/3881_22_Pampers_UK_Wipes_Product_Pages_JAN26_packs_Fresh_clean_V2_400x350.png?fm=avif&amp;w=500</t>
  </si>
  <si>
    <t>https://www.pampers.co.uk/products/pampers-fresh-clean-plastic-free-baby-wipes</t>
  </si>
  <si>
    <t>Pampers® Fresh Clean 0% Plastic Wipe</t>
  </si>
  <si>
    <t>PAMPERS_FRESH_CLEAN_PLASTIC_FREE</t>
  </si>
  <si>
    <t>4015400744887, 4015400744917, 4015400744948, 4015400749608, 4015400749646, 4015400841043, 4015400841524, 4015400841593, 8001090706485, 8001090706577, 8001090706645, 8001090706713, 8001090706850, 8001090706898, 8001090706935, 8001090924759, 8001090967961, 8001090968029, 8001090968081, 8001841072562, 8001841072722, 8001841072760, 8001841072999, 8001841073149, 8001841103365, 8001841122854, 8001841122885, 8001841129075, 8001841129099, 8001841159430, 8001841159461, 8001841159492, 8001841159522, 8001841159553, 8001841159584, 8001841159614, 8001841159652, 8001841159676, 8001841159706, 8001841793337, 8001841793368, 8001841793399, 8006540002452, 8006540002483, 8006540002513, 8006540337417, 8006540450451, 8006540450482, 8006540450512, 8006540463383, 8006540710876, 8006540711248, 8006540711767, 8006540825297, 8006540825327, 8700216039116, 8700216039161, 8700216039192, 8700216039222, 8700216039246, 8700216039260, 8700216039284, 8700216039314, 8700216039338, 8700216039345, 8700216455787, 8700216455794, 8700216455817, 8700216705226, 8700216705257, 8700216705264, 8700216705318</t>
  </si>
  <si>
    <t>https://images.ctfassets.net/3shtzlb7cz90/2GxAU0eNZc4rux9YdC8VAb/f5216ff65b6353e0c57b7b8a20e6f2f7/2146_44_Pampers_UK_Baby_Dry_Pants_PDP_APR24-BDYP-324x286.png</t>
  </si>
  <si>
    <t>https://www.pampers.co.uk/products/pampers-baby-dry-pants</t>
  </si>
  <si>
    <t>Pampers® Baby-Dry™</t>
  </si>
  <si>
    <t>PAMPERS_BABY_DRY_PANTS</t>
  </si>
  <si>
    <t>4015400622413, 4015400622482</t>
  </si>
  <si>
    <t>https://azcdn.multibrand.pgsitecore.com/en-GB/-/media/Pampers/Pampers-UK/Images/Products/Product-Oasis/Complete-Clean-Unscented/Complete-clean-unscented-closed-box-packshot.png?v=1-201706161059</t>
  </si>
  <si>
    <t>https://www.pampers.co.uk/products/pampers-complete-clean-unscented-wipes</t>
  </si>
  <si>
    <t>WIPES Pampers Complete Clean Unscented</t>
  </si>
  <si>
    <t>171156442-GB</t>
  </si>
  <si>
    <t>4015400345022, 4015400345275</t>
  </si>
  <si>
    <t>http://cdn.multibrand.pgsitecore.com/en-GB/-/media/Pampers/Pampers-Master/Images/Products/UK/Regular-Products/Secondary/Pampers-Underjams-Boys-S_630x330.png?v=1-201503020743</t>
  </si>
  <si>
    <t>https://www.pampers.co.uk/product/pampers-underjams-boys</t>
  </si>
  <si>
    <t>Pampers – Underjams (boys)</t>
  </si>
  <si>
    <t>171074137-GB</t>
  </si>
  <si>
    <t>8001090184009, 8001090184047, 8001090184092, 8001841770611, 8001841770642, 8001841770673, 8001841770703, 8001841770734, 8001841770765, 8006540132272, 8006540132296, 8006540132319, 8700216038928, 8700216038935, 8700216038942, 8700216039031, 8700216039062, 8700216039086, 8700216123303, 8700216123341, 8700216705387</t>
  </si>
  <si>
    <t>https://images.ctfassets.net/3shtzlb7cz90/6KS4yvelCPzANmVo1w0Z8Q/12c9811b6f698ca0f8c649af80f749a9/3197_22_Pampers_UK_Product_Pages_Updates_JAN25_PPP_Packshots_324x286.png</t>
  </si>
  <si>
    <t>https://www.pampers.co.uk/products/pampers-premium-protection-nappy-pants</t>
  </si>
  <si>
    <t>Pampers® Premium Protection</t>
  </si>
  <si>
    <t>PAMPERS_ACTIVE_FIT_NAPPY_PANTS</t>
  </si>
  <si>
    <t>4015400621966, 4015400622079, 4015400622222, 4015400622284</t>
  </si>
  <si>
    <t>https://azcdn.multibrand.pgsitecore.com/en-GB/-/media/Pampers/Pampers-UK/Images/Products/Product-Oasis/Pampers-Sensitive-Protect-Wipes/SENSITIVE_PROTECT_IMG_PACK.png?v=1-201706190510</t>
  </si>
  <si>
    <t>https://www.pampers.co.uk/products/pampers-sensitive-protect-wipes</t>
  </si>
  <si>
    <t>WIPES Pampers Sensitive Protect</t>
  </si>
  <si>
    <t>20150226-1-GB</t>
  </si>
  <si>
    <t>8006540234792, 8006540234822, 8006540234853, 8006540291900, 8006540291924, 8006540291948, 8006540416242, 8006540416273, 8006540416303, 8700216039369, 8700216039390, 8700216039406</t>
  </si>
  <si>
    <t>https://images.ctfassets.net/3shtzlb7cz90/6Zw6K7EI7SK5Gf9cbyZQ4a/b05d5e0a0b5872fe44585a9d97ed8de5/2146_4_Pampers_UK_Night_Pants_PDP_JUL23_200x200.png</t>
  </si>
  <si>
    <t>https://www.pampers.co.uk/products/pampers-baby-dry-night-pants-old</t>
  </si>
  <si>
    <t>Pampers® Baby-Dry™ Night Nappy Pants</t>
  </si>
  <si>
    <t>4015400623496, 4015400623663, 4015400670414</t>
  </si>
  <si>
    <t>https://images.ctfassets.net/3shtzlb7cz90/3D2HSapq6t3PQZObnuWe4q/a4524a887260d25b84af374298e423d3/NBS__1_.png</t>
  </si>
  <si>
    <t>https://www.pampers.co.uk/products/pampers-new-baby-sensitive-wipes</t>
  </si>
  <si>
    <t>Pampers® New Baby Wipes</t>
  </si>
  <si>
    <t>pampers-new-baby-sensitive-wipes</t>
  </si>
  <si>
    <t>4015400345053, 4015400345305</t>
  </si>
  <si>
    <t>http://cdn.multibrand.pgsitecore.com/en-GB/-/media/Pampers/Pampers-Master/Images/Products/UK/Regular-Products/Secondary/Pampers-Underjams-Girls-S_630x330.png?v=1-201503020743</t>
  </si>
  <si>
    <t>https://www.pampers.co.uk/product/pampers-underjams-girls</t>
  </si>
  <si>
    <t>Pampers – Underjams (Girls)</t>
  </si>
  <si>
    <t>171074138-GB</t>
  </si>
  <si>
    <t>8006540815762, 8006540815885, 8700216026253</t>
  </si>
  <si>
    <t>https://images.ctfassets.net/3shtzlb7cz90/68D4S68smhj72R6MjTXUoe/44fa600c0aae53a75d5d2fe2897f8d8d/product_page_benefit_2A_mobile_165x165.png</t>
  </si>
  <si>
    <t>https://www.pampers.co.uk/products/pampers-harmonie-new-baby-wipes</t>
  </si>
  <si>
    <t>PAMPERS_HARMONIE_NEW_BABY_WIPES</t>
  </si>
  <si>
    <t>4015400549567, 4015400549659, 4015400549680, 4015400549710, 4015400549741, 4015400549772, 4015400549802, 4015400549833, 4015400549864, 4015400549895, 4015400549925, 4015400613879, 4015400613909, 4015400686484, 4015400687030, 4015400687054, 4015400687078, 4015400687092</t>
  </si>
  <si>
    <t>http://cdn.multibrand.pgsitecore.com/en-GB/-/media/Pampers/Pampers-Master/Images/Products/UK/Regular-Products/Secondary/Pampers-Simply-Dry-Size-3-Carry-Pack-30-Nappies_4015400549567_630x330.png?v=1-201608190828</t>
  </si>
  <si>
    <t>https://www.pampers.co.uk/product/simply-dry</t>
  </si>
  <si>
    <t>Sleep and Play</t>
  </si>
  <si>
    <t>171155881-GB</t>
  </si>
  <si>
    <t>8006540458525, 8006540458563, 8006540510247, 8006540556139, 8006540811245, 8006540811276, 8700216722476, 8700216722520</t>
  </si>
  <si>
    <t>https://images.ctfassets.net/3shtzlb7cz90/3E0sVXNzipHQLx1yaucyca/cb8d935edecb670c410b59b83cb96836/packshot_img_324x286.png</t>
  </si>
  <si>
    <t>https://www.pampers.co.uk/products/pampers-aqua-baby-wipes-plastic-free</t>
  </si>
  <si>
    <t>Pampers Harmonie Aqua 0% plastic</t>
  </si>
  <si>
    <t>Harmonie_Aqua_Baby_Wipes_Plastic_Free</t>
  </si>
  <si>
    <t>http://cdn.multibrand.pgsitecore.com/en-GB/-/media/Pampers/Pampers-Master/Images/Products/UK/Regular-Products/Secondary/Pampers-Kandoo-Refill-Toilet-Wipes-Melon-50-per-pack-_4015400192381_630x330.png?v=1-201503020743</t>
  </si>
  <si>
    <t>https://www.pampers.co.uk/product/pampers-kandoo-toilet-wipes-for-children</t>
  </si>
  <si>
    <t>Pampers Kandoo toilet wipes for children</t>
  </si>
  <si>
    <t>171074149-GB</t>
  </si>
  <si>
    <t>8700216038546, 8001841859088, 8001841794884, 8001841794822, 8006530145985, 8006530145992, 8700216038294, 8001841794761, 8001841794853, 8001841859187, 8006530145947, 8001841794792, 8001841859163, 8006530145893, 8001841859156, 8001841859101, 8006530146067, 8700216038317, 8001841794730, 4015400639015, 8006530145954, 8700216038638</t>
  </si>
  <si>
    <t>https://images.ctfassets.net/2ql69mthp94m/6mFfqz6dzyUmDfFzmG1Gaz/4bd22dce4ff9bf8b71bd82d14ac59e9f/3881_22_Pampers_UK_Wipes_Product_Pages_JAN26_packs_New_baby_400x350.png?fm=avif&amp;w=500</t>
  </si>
  <si>
    <t>https://www.pampers.co.uk/products/pampers-premium-protection-new-baby-wipes</t>
  </si>
  <si>
    <t>Pampers® Premium Protection New Baby Wipe</t>
  </si>
  <si>
    <t>PAMPERS_NEW_BABY</t>
  </si>
  <si>
    <t>https://images.ctfassets.net/3shtzlb7cz90/2wwOup1wCJY9dHF8GJxCty/27a7b0f66349a56ac185851f3995a25e/Image_Background_Remover__1_.png</t>
  </si>
  <si>
    <t>https://www.pampers.co.uk/products/pampers-harmonie-protect-care-plastic-free</t>
  </si>
  <si>
    <t>Pampers® Harmonie Protect &amp; Care 0% Plastic</t>
  </si>
  <si>
    <t>PAMPERS_COCONUT_PURE_WIPES</t>
  </si>
  <si>
    <t>http://cdn.multibrand.pgsitecore.com/en-GB/-/media/Pampers/Pampers-Master/Images/Products/UK/Regular-Products/Secondary/Pampers-New-Baby-Sensitive-Size-1-Carry-Pack-23-Nappies_4015400611356_630x330.png?v=1-201503020743</t>
  </si>
  <si>
    <t>https://www.pampers.co.uk/star-product/new-baby-sensitive</t>
  </si>
  <si>
    <t>New Baby Sensitive</t>
  </si>
  <si>
    <t>171153601-GB</t>
  </si>
  <si>
    <t>8006540222089, 8006540222140, 8006540222324</t>
  </si>
  <si>
    <t>https://images.ctfassets.net/3shtzlb7cz90/01E7PQ50LFBOCyXJ50n8ek/5c09f67196d372683aaacf44869a3c03/KidsHygiene.png</t>
  </si>
  <si>
    <t>https://www.pampers.co.uk/products/pampers-hygiene-wipes</t>
  </si>
  <si>
    <t>Pampers® Kids Hygiene on-the-go Wipes</t>
  </si>
  <si>
    <t>pampers-kids-hygiene-on-the-go-wipes</t>
  </si>
  <si>
    <t>Sensitive-0-Plastic</t>
  </si>
  <si>
    <t>4015400542940, 4015400566663, 4015400566700, 4015400566748, 4015400566786, 4015400566823, 4015400566892, 4015400601876, 4015400602149, 4015400689263, 4015400689331, 4015400689454, 4015400689539, 4015400689614, 4015400695677, 4015400695691, 4015400695714, 4015400833444, 4015400833871, 4015400834274, 4015400834410, 4015400834489, 4015400834991, 4015400835035, 4015400835097, 8001090156839, 8001090197672, 8001090197740, 8001090197887, 8001090197917, 8001090268679, 8001090298300, 8001090368553, 8001090368577, 8001090383648, 8001090406507, 8001090672216, 8001090672247, 8001090672285, 8001090672414, 8001090672520, 8001841793085, 8001841793108, 8001841793122, 8001841793146, 8006540697801, 8006540697825, 8006540697849, 8006540697863, 8006540827215, 8006540827277, 8006540827307, 8006540827338, 8006540861691, 8006540861714, 8006540861738, 8006540861752, 8700216036191, 8700216036214, 8700216036245, 8700216036276, 8700216036306, 8700216036344, 8700216036375, 8700216036412, 8700216036436, 8700216458733</t>
  </si>
  <si>
    <t>https://images.ctfassets.net/3shtzlb7cz90/3FfQbEdwQ4BPcKJAomggsJ/34e9abe6105ad7c099c5d3fcec4809c9/Packshot_img_324x286.png</t>
  </si>
  <si>
    <t>https://www.pampers.co.uk/products/pampers-baby-dry</t>
  </si>
  <si>
    <t>PAMPERS_BABY_DRY_TAPE</t>
  </si>
  <si>
    <t>8006540630464, 8006540630488, 8006540630518, 8006540630549, 8006540630563, 8006540630587, 8006540630617, 8006540630648, 8700216189583, 8700216189613, 8700216189644, 8700216189651</t>
  </si>
  <si>
    <t>https://images.ctfassets.net/3shtzlb7cz90/23EKtrYTU7TcncYQWiiBLH/27d1ff67260edc8af63756aea50390c2/2146_10_Pampers_UK_Ninjamas_PDP_JUL23_324x286.png</t>
  </si>
  <si>
    <t>https://www.pampers.co.uk/products/pampers-ninjamas-pyjama-pants</t>
  </si>
  <si>
    <t>PAMPERS® NINJAMAS</t>
  </si>
  <si>
    <t>8006530116558, 8006530116305, 8006530116152, 8006530116374, 8006530116459, 8006530116206</t>
  </si>
  <si>
    <t>https://images.ctfassets.net/2ql69mthp94m/D7gwYdv5XHA8GZr9E6zsz/dcf25c494ae1329d60d358e82a567b48/3881_22_Pampers_UK_Wipes_Product_Pages_JAN26_packs_Pure_skin_400x350.png?fm=avif&amp;w=500</t>
  </si>
  <si>
    <t>Pampers® 99% Water Wipe</t>
  </si>
  <si>
    <t>Harmonie_99percent_Water</t>
  </si>
  <si>
    <t>4015400599456, 4015400835332, 4015400835370, 4015400835448, 4015400835509, 4015400835936, 4015400849193, 4015400849247, 4015400849285, 4015400855293, 4015400855323, 4015400855354, 8001090287861, 8001090287946, 8001090287984, 8001090288011, 8001090299642, 8001090608840, 8001090609380, 8001090609557, 8001090609632, 8001090610058, 8001841201276, 8001841201306</t>
  </si>
  <si>
    <t>https://res.cloudinary.com/pmprs/image/upload/c_fill,f_auto/v20191128114838/pampersc1/en-gb/-/media/pampers/pampers-uk/images/products/product-oasis/updated-packshots/premium-protection_150x150.png?v=2-201911281148</t>
  </si>
  <si>
    <t>https://www.pampers.co.uk/products/pampers-premium-protection-nappies</t>
  </si>
  <si>
    <t>NAPPIES Pampers Premium Protection</t>
  </si>
  <si>
    <t>PAMPERS_PREMIUM_PROTECTION</t>
  </si>
  <si>
    <t>8006540460610, 8006540460672, 8006540460733, 8006540867952, 8006540867990, 8700216235648, 8700216235655, 8700216235693</t>
  </si>
  <si>
    <t>https://images.ctfassets.net/3shtzlb7cz90/7LSCfrCqciY5v0jaJUyZoZ/55e5d519618be4931290175042750382/Packshot_img_1_324x286.png</t>
  </si>
  <si>
    <t>https://www.pampers.co.uk/products/pampers-harmonie-pants</t>
  </si>
  <si>
    <t>PAMPERS_HARMONIE_PANTS</t>
  </si>
  <si>
    <t>4015400622734, 4015400622840</t>
  </si>
  <si>
    <t>https://azcdn.multibrand.pgsitecore.com/en-GB/-/media/Pampers/Pampers-UK/Images/Products/Product-Oasis/Complete-Clean-scented/Complete_Clean_scented_Closed_box_Packshot.png?v=1-201706161100</t>
  </si>
  <si>
    <t>https://www.pampers.co.uk/products/pampers-complete-clean-scented-wipes</t>
  </si>
  <si>
    <t>WIPES Pampers Complete Clean Scented</t>
  </si>
  <si>
    <t>171156443-GB</t>
  </si>
  <si>
    <t>8001841062792, 8001841041391, 8001841062754, 8006540836194, 8001841062303, 8001841062976, 8001841041421, 8001841041483, 8001841062440, 8001841063188, 8001841062624, 8001841062334, 8001841276151</t>
  </si>
  <si>
    <t>https://images.ctfassets.net/3shtzlb7cz90/48cDtEQSjqSWO1EBQEyMCN/cf1f7b947709171b52bbb7284a7761c4/2146_37_Pampers_UK_Sensitive_Wipes_PDP_MAR24_Cross_sell_1.png</t>
  </si>
  <si>
    <t>https://www.pampers.co.uk/products/pampers-sensitive</t>
  </si>
  <si>
    <t>171156441-GB</t>
  </si>
  <si>
    <t>Instance: pampers-en_gb</t>
  </si>
  <si>
    <t>Pampers-EN_GB R&amp;R Key Metrics</t>
  </si>
  <si>
    <t>Pampers_Cruisers360123</t>
  </si>
  <si>
    <t>020800925877, 020800925891, 020800925914, 020800925938, 020800925952</t>
  </si>
  <si>
    <t>https://cdn11.bigcommerce.com/s-pvhrvuxqgv/product_images/j/system%20pdp_gallery_7__82265.png</t>
  </si>
  <si>
    <t>https://www.lumibypampers.com/smart-sleep-system</t>
  </si>
  <si>
    <t>With Lumi, most parents see improvements with their baby’s sleep in as little as 7 days</t>
  </si>
  <si>
    <t>Smart Sleep System</t>
  </si>
  <si>
    <t>Pampers_Lumi_SmartSleepSystem</t>
  </si>
  <si>
    <t>8006540428368</t>
  </si>
  <si>
    <t>003700006698</t>
  </si>
  <si>
    <t>string2</t>
  </si>
  <si>
    <t>samplingPampers_Wipes_Swaddlers_Sweet_Dreams</t>
  </si>
  <si>
    <t>333</t>
  </si>
  <si>
    <t>7500435132909</t>
  </si>
  <si>
    <t>NotExistingProduct</t>
  </si>
  <si>
    <t>NotExistingProduct8</t>
  </si>
  <si>
    <t>NotExistingProduct3</t>
  </si>
  <si>
    <t>37000769255</t>
  </si>
  <si>
    <t>37000940624</t>
  </si>
  <si>
    <t>037000965183</t>
  </si>
  <si>
    <t>https://cdn11.bigcommerce.com/s-pvhrvuxqgv/product_images/x/sensor-gallery__95792.png</t>
  </si>
  <si>
    <t>https://www.lumibypampers.com/smart-sleep-sensor</t>
  </si>
  <si>
    <t>Expert sleep tutorials with sleep tracking and insights. Made to work with Swaddlers for Lumi diapers.</t>
  </si>
  <si>
    <t>Smart Sleep System (Replacement Sensor)</t>
  </si>
  <si>
    <t>Pampers_Lumi_SmartSleepSystem_ReplacementSensor</t>
  </si>
  <si>
    <t>020800926171, 020800926195, 020800926218, 020800926232, 020800926256, 020800926355</t>
  </si>
  <si>
    <t>https://cdn11.bigcommerce.com/s-pvhrvuxqgv/product_images/p/6_diaper-gallery__19373.png</t>
  </si>
  <si>
    <t>https://www.lumibypampers.com/diaperstest</t>
  </si>
  <si>
    <t>Made with the same comfort protection, and priced similarly to Swaddlers</t>
  </si>
  <si>
    <t>Swaddlers for Lumi by Pampers</t>
  </si>
  <si>
    <t>Pampers_Diapers_Lumi_Swaddlers</t>
  </si>
  <si>
    <t>NotExistingProduct6</t>
  </si>
  <si>
    <t>PAMPERS_NEW_BABY_SENSITIVE</t>
  </si>
  <si>
    <t>string1</t>
  </si>
  <si>
    <t>INFPGID2161510</t>
  </si>
  <si>
    <t>NotExistingProduct1</t>
  </si>
  <si>
    <t>NotExistingProduct7</t>
  </si>
  <si>
    <t>E000085588</t>
  </si>
  <si>
    <t>Pampers_Swaddlers360</t>
  </si>
  <si>
    <t>222</t>
  </si>
  <si>
    <t>NotExistingProduct5</t>
  </si>
  <si>
    <t>string</t>
  </si>
  <si>
    <t>aaaaa</t>
  </si>
  <si>
    <t>NotExistingProduct9</t>
  </si>
  <si>
    <t>111</t>
  </si>
  <si>
    <t>INFPGID2028461</t>
  </si>
  <si>
    <t>BABYDRYM7-BENL</t>
  </si>
  <si>
    <t>37000940625</t>
  </si>
  <si>
    <t>INFPGID2028092</t>
  </si>
  <si>
    <t>003700006755</t>
  </si>
  <si>
    <t>INFPGID2160755</t>
  </si>
  <si>
    <t>030772094464, 030772094471, 030772094488, 030772142592, 037000715122</t>
  </si>
  <si>
    <t>https://sampling2-product-images-prod.s3.amazonaws.com/bvsampling/Pampers-80782544.png</t>
  </si>
  <si>
    <t>Pampers Cruisers 360 Pull-On Diapers were designed for active babies and toddlers to provide an up to 100% leakproof fit - now with new EZ-Off tabs on the front of the diaper.
Itâ€™s truly best of both the worlds with changes made easy â€“ it slides right on like a pant and tabs right off like a diaper. Just slide them on to apply, completely remove the EZ-off tabs from reach side, use the EZ-Off tabs to secure the diaper on both sides and youâ€™re done!</t>
  </si>
  <si>
    <t>Pampers Cruisers 360 S6 Super 1/48</t>
  </si>
  <si>
    <t>80782544</t>
  </si>
  <si>
    <t>Pampers Cruisers 360</t>
  </si>
  <si>
    <t>0037000864820, 0037000864837, 0037000864844, 0037000864851, 0037000864868, 0037000864875, 0037000864899, 0037000864905</t>
  </si>
  <si>
    <t>Pampers Baby Dry Extra Protection</t>
  </si>
  <si>
    <t>761042421</t>
  </si>
  <si>
    <t>PAMPERS_US</t>
  </si>
  <si>
    <t>0030772253861, 0037000764595</t>
  </si>
  <si>
    <t>030772253861, 037000764595, 037000859239</t>
  </si>
  <si>
    <t>https://images.ctfassets.net/9wtva4vhlgxb/Bi34ckgoqD99LCm2Exs3B/61970000898c0bdc376fb9f44b788acb/11.png</t>
  </si>
  <si>
    <t>https://www.pampers.com/en-us/products/pampers-splashers-swim-pants-for-boys-and-girls</t>
  </si>
  <si>
    <t>Pampers® Splashers™</t>
  </si>
  <si>
    <t>030772005378, 037000695462, 037000695479, 037000695486, 037000695493, 037000695509, 037000695516, 037000744887, 037000749585, 037000749592, 037000749615, 037000749622, 037000749684, 037000749691, 037000749714, 037000749844, 037000749875, 037000749882, 037000772552, 037000773061, 037000773078, 037000773108, 037000773115, 037000788782, 037000794660, 037000799788, 037000799818, 037000799825, 037000799832, 037000828358, 037000828365, 037000828426, 037000828433, 037000828761, 037000828792, 037000828815, 037000829126, 037000829317, 037000829324, 037000829348, 037000829799, 037000830481, 037000830498, 037000830504, 037000830535, 037000830559, 037000830627, 037000831822, 037000832058, 037000832249, 037000832270, 037000832775, 037000832805, 037000832959, 037000833086, 037000833178, 037000833260, 037000978176</t>
  </si>
  <si>
    <t>https://images.ctfassets.net/9wtva4vhlgxb/7ftRv7BloaHJHXVleyXUyI/1a29050893aea6965edbd6683f3fbbb1/Swaddlers_280x195.png</t>
  </si>
  <si>
    <t>https://www.pampers.com/en-us/diapers-wipes/pampers-swaddlers-diapers</t>
  </si>
  <si>
    <t>Pampers® Swaddlers™</t>
  </si>
  <si>
    <t>761042388</t>
  </si>
  <si>
    <t>037000596554, 037000275435, 037000596431, 037000972006, 037000976509, 037000596448, 037000275459, 037000596271, 037000971368, 037000596059, 030772079010, 037000595946, 037000275497, 030772080672, 037000596516, 037000276067, 037000595939, 037000595601, 030772049358, 037000596073, 030772049341, 037000596479, 037000596486, 030772046517, 037000275565, 037000971900, 037000596455, 037000596066, 037000595656, 037000275046, 037000275848, 037000276142, 030772054185, 037000276371, 037000596530, 030772050019, 030772050057, 030772080634, 037000971177, 037000595908, 037000596547, 030772098158, 030772049334, 037000276166, 037000595700, 030772079027, 037000275084</t>
  </si>
  <si>
    <t>https://images.ctfassets.net/9wtva4vhlgxb/3D2vSDnInBBOCBIlRvHsv5/96fc36d7ff09b19a33f2af622b54cd90/Pampers_pure_protection.png</t>
  </si>
  <si>
    <t>https://www.pampers.com/en-us/products/pampers-pure-protection-diapers</t>
  </si>
  <si>
    <t>Pampers® Pure Protection</t>
  </si>
  <si>
    <t>Pampers_ Pure_Protection_Diapers</t>
  </si>
  <si>
    <t>https://images.ctfassets.net/9wtva4vhlgxb/4SL6JBRFEfbuYCVpJCB0hC/18e3edd60e8b0bcf0f4505be1054f9eb/M_UNDERJAMS_DIAPER_324x286_RETINA.png</t>
  </si>
  <si>
    <t>https://www.pampers.com/en-us/diapers-wipes/pampers-underjams-absorbent-night-wear-for-boys-and-girls</t>
  </si>
  <si>
    <t>Pampers® Underjams™</t>
  </si>
  <si>
    <t>761043742</t>
  </si>
  <si>
    <t>030772018798, 030772018804, 030772018811</t>
  </si>
  <si>
    <t>https://images.ctfassets.net/9wtva4vhlgxb/3F4ytrV7tpvbdGesBCm7ss/642ebacf11a7969d96bff70f38fedcf5/sweetdreams_324x286.png</t>
  </si>
  <si>
    <t>https://www.pampers.com/en-us/diapers-wipes/swaddlers-sweet-dreams-wipes</t>
  </si>
  <si>
    <t>Pampers® Swaddlers Sweet Dreams Wipes</t>
  </si>
  <si>
    <t>pampers-swaddlers-sweet-dreams-wipes</t>
  </si>
  <si>
    <t>030772098530, 037000941743, 030772073254, 037000845706, 030772204351, 030772073315, 030772168196, 030772073360, 030772269190, 037000870876, 030772073261, 037000967552, 030772269718, 037000894131, 037000731061, 037000751397, 037000195085</t>
  </si>
  <si>
    <t>https://images.ctfassets.net/9wtva4vhlgxb/3CFIkldpzkFvT7UjAOxben/d1a8eb563ede1f75cfef97fe97f98f81/10.png</t>
  </si>
  <si>
    <t>https://www.pampers.com/en-us/products/pampers-sensitive-wipes</t>
  </si>
  <si>
    <t>PAMPERS_SENSITIVE</t>
  </si>
  <si>
    <t>037000828761, 030772097564, 037000788782, 037000829324, 037000828792, 030772035504, 037000828365, 030772035511, 037000749691, 037000773078, 030772131039, 037000799825, 037000799818, 037000773061, 037000749684, 037000833109, 037000749790, 030772132920, 037000749882, 030772035498, 037000832058, 030772042830, 037000749592, 037000828815, 030772098141, 037000749615, 037000749875, 037000863403, 030772042809, 037000749622, 037000833086, 037000828358, 037000831822, 030772097533, 030772228142, 037000828433, 030772228135, 037000794660, 030772042823, 030772228210, 030772228166, 030772035528, 037000749714, 037000749844, 030772097540, 037000772552, 037000773115, 030772098639, 037000829126, 037000833178, 037000829348, 030772228180, 037000773108, 037000828426, 037000749585, 037000833260, 030772035542, 037000799832</t>
  </si>
  <si>
    <t>https://images.ctfassets.net/2ql69mthp94m/1RKbw0c8rZttOQ1c7tCCOG/e9c42ca7cac2d0b5993d12dcd53ef318/Swaddlers_New_Clean.png</t>
  </si>
  <si>
    <t>https://www.pampers.com/en-us/products/pampers-swaddlers-diapers</t>
  </si>
  <si>
    <t>Pampers_Swaddlers</t>
  </si>
  <si>
    <t>037000714477, 037000714576, 037000714774, 037000714835, 037000714866, 037000714873, 037000715078, 037000715092, 037000715122, 037000715436, 037000716549, 037000716556, 037000716679, 037000716785, 037000716853, 037000717072, 037000717119, 037000717379, 037000718512, 037000718529, 037000744900, 037000744993, 037000745037, 037000745211, 037000748618, 037000810186, 037000929413, 037000929529, 037000931980, 037000931997, 037000932000, 037000932048, 037000932093, 037000932482, 037000932512, 037000932550, 037000991434, 477199916373, 477199917301</t>
  </si>
  <si>
    <t>https://images.ctfassets.net/9wtva4vhlgxb/1UjwZnfAcgp0drDks8IgGv/7ab0d6853445f1f0569afb3116623ce0/Packshot.png</t>
  </si>
  <si>
    <t>https://www.pampers.com/en-us/diapers-wipes/pampers-cruisers-360</t>
  </si>
  <si>
    <t>Pampers® Cruisers 360° Fit™</t>
  </si>
  <si>
    <t>Cruisers_360</t>
  </si>
  <si>
    <t>030772250228, 030772250181, 030772250174, 030772249314, 030772249284, 030772250167, 030772249352, 030772249321, 030772249345, 030772249291, 030772250211, 030772250198, 030772250150, 030772249277, 030772250204, 030772249338, 030772250143, 030772249307</t>
  </si>
  <si>
    <t>https://sampling2-product-images-prod.s3.amazonaws.com/bvsampling/Pampers-SwaddlersUltra.jpeg</t>
  </si>
  <si>
    <t>https://www.pampers.com/en-us/products/pampers-swaddlers-ultra</t>
  </si>
  <si>
    <t>Swaddlers Ultra Day + Night  
Our most absorbent for up to 12H of Sleep</t>
  </si>
  <si>
    <t>Pampers Swaddlers Ultra Day + Night</t>
  </si>
  <si>
    <t>SwaddlersUltra</t>
  </si>
  <si>
    <t>030772145401, 037000862352, 037000838258, 030772034361, 037000862093, 037000783169, 037000893097, 037000862345, 037000862369, 037000838265, 037000783817, 037000862208, 030772197875, 037000838180, 037000864448, 030772034354, 030772034347, 037000783800, 037000783831, 037000862109, 030772197967, 037000864196, 030772197905, 00030772034354, 030772034385, 037000870692, 037000862222, 030772213971, 037000862215, 030772197974, 037000862130, 037000862260, 030772034408, 037000862253, 030772197899, 00030772034392, 030772034392, 00030772034361, 037000862116, 037000863939, 030772091081, 030772091364, 030772213988, 00030772034385, 037000838173, 030772091098, 037000862239, 037000864349, 037000783794, 030772213995, 037000838272, 037000783824, 00030772034408, 037000862246, 030772198018, 037000862086, 00030772034347, 00030772091074, 030772091074, 037000862123</t>
  </si>
  <si>
    <t>https://images.ctfassets.net/9wtva4vhlgxb/eXvBk6nXcZk2h0p5HlBEK/bb0423bbe819b5247b3d4fa12fcc2078/08.png</t>
  </si>
  <si>
    <t>https://www.pampers.com/en-us/products/pampers-baby-dry-diapers</t>
  </si>
  <si>
    <t>Pampers® Baby-Dry™
Pampers Baby Dry
Pampers BabyDry</t>
  </si>
  <si>
    <t>Pampers_BabyDry</t>
  </si>
  <si>
    <t>037000275848, 037000276067</t>
  </si>
  <si>
    <t>https://sampling-photos-prod.s3.amazonaws.com/photos/2adaad81645a4d1ec40b2b58f9e8586b_00037000275848_C1C1.jpeg</t>
  </si>
  <si>
    <t>Pampers Pure Protection Hybrid Cloth Diaper Reusable Cover 1ct</t>
  </si>
  <si>
    <t>Pampers Pure Hybrid Cloth Diaper Cover - Jungle</t>
  </si>
  <si>
    <t>037000275848</t>
  </si>
  <si>
    <t>030772049334</t>
  </si>
  <si>
    <t>https://images.ctfassets.net/9wtva4vhlgxb/4tu1TSDdNuzpkny2ALbpmC/172cd938888b65a9badf2c14e9ded208/purepants_324x286.png</t>
  </si>
  <si>
    <t>https://www.pampers.com/en-us/products/pampers-pure-protection-training-underwear</t>
  </si>
  <si>
    <t>Ready to potty train? From Pampers, the #1 pediatrician recommended brand, here is a training pant that will have you singing. Featuring the irresistible Baby Shark characters, Pampers Pure Training Underwear gives you up to 100% leak protection, day and night. The incredibly soft, breathable material is 100% fragrance-free and made with 0% elemental chlorine, parabens, and natural rubber latex. Our dynamic 360 degree Stretchy Waistband moves with toddlers, giving them a comfortable, underwear-like fit that's easy to pull up and down. Just like real underwear! Pampers Pure Training Underwear also has Easy-Tear Sides that give parents ultimate flexibility when it's time for a quick change. Say goodbye to diapers and hello to the comfy softness of Pampers Pure Training Underwear.</t>
  </si>
  <si>
    <t>Pampers Pure Protection</t>
  </si>
  <si>
    <t>80371909</t>
  </si>
  <si>
    <t>030772044131, 037000751960, 037000752004, 037000752028, 037000752035, 037000752394, 037000752608, 037000752615, 037000775447, 037000775454, 037000775478, 037000775485, 037000795230, 037000799726, 037000799733, 037000799740, 037000799764, 037000799771</t>
  </si>
  <si>
    <t>https://images.ctfassets.net/9wtva4vhlgxb/1BN1cotlV0UebGSXqey7sA/40a2115d0c24dd1a80e76f919df7e9fb/Cruisers_280x195.png</t>
  </si>
  <si>
    <t>https://www.pampers.com/en-us/products/pampers-cruisers-diapers</t>
  </si>
  <si>
    <t>Pampers® Cruisers™</t>
  </si>
  <si>
    <t>Pampers_Diapers_Cruisers</t>
  </si>
  <si>
    <t>037000775843</t>
  </si>
  <si>
    <t>https://sampling-photos-prod.s3.amazonaws.com/photos/3a19e0d22fa5e03a4f21612bfc6c9030_f78f80d2-a441-4a46-97f9-f01c7a1689c5_1.a4fab7d9c9ce7c8565d68d305dbdf828_.jpeg</t>
  </si>
  <si>
    <t>Swaddlers protection with nighttime in mind!
Pampers Swaddlers Overnights diapers feature Pampers All Night Protection*, which means they're designed to handle even the heaviest nights. The outer cover is Blankie Soft, just like regular Swaddlers, so you can wrap her in comfort all night long. And, thanks to a color-changing wetness indicator, you'll know when it's time for a change. Swaddlers Overnights diapers also feature a Heart Quilt liner that pulls wetness and mess away from your baby's delicate skin. Plus, Air Channels help distribute moisture evenly for a comfortable night's sleep. For sweet dreams, try our softest nighttime diaper: Swaddlers Overnights.
*Up to 12 hours of protection</t>
  </si>
  <si>
    <t>Pampers Swaddlers Overnights Diapers Size 6 42 Count</t>
  </si>
  <si>
    <t>37000775843</t>
  </si>
  <si>
    <t>030772044131, 037000644552, 037000644576, 037000714873, 037000715092, 037000751960, 037000752004, 037000752028, 037000752035, 037000752097, 037000752103, 037000752127, 037000752394, 037000752608, 037000752615, 037000775447, 037000775454, 037000775478, 037000775485, 037000775669, 037000795230, 037000799726, 037000799733, 037000799740, 037000799764, 037000799771, 037000819202, 037000820338, 037000820345, 037000862581, 037000862598, 037000862604, 037000862611, 037000862628, 037000862642, 037000862680, 037000862697, 037000862703, 037000862710, 037000862796, 037000862802, 037000862819, 037000862864, 037000862871, 037000862888, 037000862901, 037000862918, 037000862925, 037000862949, 037000868576, 037000932024, 037000933380, 037000933564</t>
  </si>
  <si>
    <t>Pampers_Cruisers</t>
  </si>
  <si>
    <t>030772054840, 030772073278, 037000754770</t>
  </si>
  <si>
    <t>https://images.ctfassets.net/9wtva4vhlgxb/5wjwKWQnBbPezlq8p7ca4F/2aa17de180574c6e508fb6afe6f98b3d/15.png</t>
  </si>
  <si>
    <t>https://www.pampers.com/en-us/products/pampers-baby-fresh-scent-wipes</t>
  </si>
  <si>
    <t>Pampers® Baby-Clean Baby Fresh™ Scent</t>
  </si>
  <si>
    <t>Pampers_Baby_Fresh</t>
  </si>
  <si>
    <t>BV_WB_FAMILY:pampers_pure_hybrid</t>
  </si>
  <si>
    <t>pampers_pure_hybrid</t>
  </si>
  <si>
    <t>037000275046, 037000275084, 037000275435, 037000275459, 037000275497, 037000275565, 037000275848, 037000276067, 037000276142, 037000276159, 037000276166, 037000276371</t>
  </si>
  <si>
    <t>https://images.ctfassets.net/9wtva4vhlgxb/5deQNd9L7lSksuM3U7CYg3/38cb19a953e352777874d7c35f4e8eaf/PureHybrid_280x195.png</t>
  </si>
  <si>
    <t>https://www.pampers.com/en-us/diapers-wipes/pampers-pure-protection-diapers-hybrid</t>
  </si>
  <si>
    <t>Pampers® Pure Protection Hybrid Diapers</t>
  </si>
  <si>
    <t>pampers-pure-protection-diapers-hybrid</t>
  </si>
  <si>
    <t>0030772181423, 0030772204788, 0030772133460, 0030772181416, 0030772133521, 0030772133484, 0030772204825, 0030772170687, 0030772133477, 0030772204887, 0030772133576, 0030772133491, 0030772204832, 0030772133538, 0030772133552, 0030772133446, 0030772133569, 0030772133545, 0030772133583, 0030772133507, 0030772170670, 0030772204771, 0030772133590, 0030772170694, 0030772133514, 0030772170632, 0030772133453</t>
  </si>
  <si>
    <t>030772133538, 030772181416, 030772170670, 030772133545, 030772204832, 030772204825, 030772204771, 030772133446, 030772133491, 030772133507, 030772133514, 030772133477, 030772170687, 030772170694, 030772133576, 030772133569, 030772133590, 030772170632, 030772204788, 030772133552, 030772133484, 030772133521, 030772133460, 030772133453, 030772204887, 030772133583, 030772181423</t>
  </si>
  <si>
    <t>https://sampling2-product-images-prod.s3.amazonaws.com/bvsampling/Pampers-Pampers_Swaddlers_360_EWOK.jpeg?t=1776262829491</t>
  </si>
  <si>
    <t>https://www.pampers.com/en-us/products/pampers-swaddlers-360</t>
  </si>
  <si>
    <t>Pampers Swaddlers 360 Size 5, Pull-on diaper</t>
  </si>
  <si>
    <t>Swaddlers 360 Size 5</t>
  </si>
  <si>
    <t>Pampers_Swaddlers_360_EWOK_Size_5</t>
  </si>
  <si>
    <t>BV_WB_FAMILY:Pampers_Easy_Ups</t>
  </si>
  <si>
    <t>Pampers_Easy_Ups</t>
  </si>
  <si>
    <t>030772266946, 5430477571638, 030772213513, 0351114707317, 030772213506, 0330858377390, 0037000724025, 030772266984, 030772123058, 0030772279014, 030772213537, 030772266991, 0030772203194, 030772267004, 0030772203118, 0030772230756</t>
  </si>
  <si>
    <t>037000607304, 037000724063, 037000785064, 030772123072, 037000607168, 030772123065, 030772279014, 030772234075, 037000724162, 037000764168, 030772203170, 030772266946, 030772203095, 037000792710, 037000764656, 037000607083, 030772221174, 037000785088, 037000764410, 037000764908, 037000724506, 030772189931, 037000724773, 030772032688, 037000764885, 030772221105, 030772203163, 030772213513, 030772032701, 351114707317, 037000764700, 030772270707, 030772254226, 037000764878, 030772032718, 037000796183, 030772123041, 037000764373, 037000724780, 037000724148, 037000764663, 037000724186, 030772032695, 037000764380, 030772032756, 037000764632, 037000724025, 030772234044, 030772213506, 030772189955, 030772270677, 030772270684, 030772203194, 030772267004, 0330858377390, 037000785071, 037000764434, 037000785057, 037000764564, 037000724070, 037000764052, 037000764694, 037000607236, 037000764687, 030772221150, 030772221112, 037000765103, 030772221181, 030772203118, 030772266984, 030772032725, 030772123058, 037000764861, 037000764397, 030772221136, 037000764892, 037000764366, 030772270691, 030772230756, 037000724216, 037000724056, 030772213537, 037000607151, 037000764649, 037000764403, 030772266991</t>
  </si>
  <si>
    <t>https://www.pampers.com/en-us/products/pampers-easy-ups-trainers-for-boys-and-girls</t>
  </si>
  <si>
    <t>Potty train with Pampers Easy Ups, featuring up to 100% leakproof protection day and night.</t>
  </si>
  <si>
    <t>Pampers® Easy Ups™</t>
  </si>
  <si>
    <t>Pampers_EasyUps</t>
  </si>
  <si>
    <t>037000963769, 037000963776, 037000963783, 037000963790</t>
  </si>
  <si>
    <t>http://cdn.multibrand3.pgsitecore.com/en-US/-/media/Pampers/Pampers-US/Images/Products/17_Pampers_Swaddlers_355x215_nosize.jpg?h=215&amp;w=355&amp;v=1-201707171944&amp;crop=1&amp;sc=0</t>
  </si>
  <si>
    <t>https://www.pampers.com/en-us/diapers-wipes/pampers-swaddlers-overnights</t>
  </si>
  <si>
    <t>Pampers Swaddlers Overnights</t>
  </si>
  <si>
    <t>037000963769</t>
  </si>
  <si>
    <t>030772094464, 037000715092, 037000748618, 037000717072, 030772163306, 037000714835, 030772204924, 037000716853, 037000717119, 030772040928, 030772046074, 037000714576, 00030772207284, 037000717379, 030772046050, 037000714774, 030772204900, 037000718512, 030772094471, 030772204931, 037000714866, 030772204894, 037000715122, 037000716679, 030772142592, 00030772207277, 00030772207307, 037000714477, 037000716556, 037000715078, 037000715436, 030772046043, 030772204863, 030772094488, 037000718529, 037000716785, 037000714873, 037000716549, 030772046067</t>
  </si>
  <si>
    <t>https://images.ctfassets.net/9wtva4vhlgxb/5KRyHCvdzwkmqvWKGZKCUL/94a2968893f42df10b600645db8df052/13.png</t>
  </si>
  <si>
    <t>https://www.pampers.com/en-us/products/pampers-cruisers-360</t>
  </si>
  <si>
    <t>Pampers® Cruisers 360°™</t>
  </si>
  <si>
    <t>Pampers_Cruisers360</t>
  </si>
  <si>
    <t>BV_WB_FAMILY:pampers-expressions-wipes</t>
  </si>
  <si>
    <t>pampers-expressions-wipes</t>
  </si>
  <si>
    <t>037000506553, 037000506836, 037000507123, 037000579823, 037000579939, 037000580102, 037000580133, 037000872115, 037000872146, 037000872153</t>
  </si>
  <si>
    <t>https://images.ctfassets.net/9wtva4vhlgxb/3EAShoqCQcB1QGrhxGRgK5/dc1d4e5dc332a603316c824cc9cc80cf/Gexpressions_324x286.png</t>
  </si>
  <si>
    <t>https://www.pampers.com/en-us/diapers-wipes/pampers-expressions-wipes</t>
  </si>
  <si>
    <t>Pampers® Expressions Wipes</t>
  </si>
  <si>
    <t>037000948988, 037000948995, 037000949008, 037000949015, 037000949022, 037000949039, 037000949046, 037000949053, 037000949060, 037000949077</t>
  </si>
  <si>
    <t>http://cdn.multibrand3.pgsitecore.com/en-US/-/media/Pampers/Pampers-US/Images/Products/WMT_Premium_Open.png?v=1-201509041204</t>
  </si>
  <si>
    <t>http://www.pampers.com/en-us/diapers-wipes/pampers-premium-care</t>
  </si>
  <si>
    <t>Pampers Premium Care</t>
  </si>
  <si>
    <t>37000949022</t>
  </si>
  <si>
    <t>030772005378, 030772035498, 030772035504, 030772035511, 030772035528, 030772035542, 030772042809, 030772042823, 030772042830, 030772097533, 030772097540, 030772097564, 030772098141, 030772132920, 037000067290, 037000303749, 037000749585, 037000749592, 037000749615, 037000749622, 037000749684, 037000749691, 037000749714, 037000749738, 037000749837, 037000749844, 037000749875, 037000749882, 037000772552, 037000773061, 037000773078, 037000773108, 037000773115, 037000788782, 037000794660, 037000799788, 037000799818, 037000799825, 037000799832, 037000828358, 037000828365, 037000828426, 037000828433, 037000828761, 037000828792, 037000828815, 037000829126, 037000829317, 037000829324, 037000831822, 037000832058, 037000832133, 037000832249, 037000832775, 037000832805, 037000832959, 037000833086, 037000833109, 037000833178, 037000833260, 037000863403, 037000978138, 037000978145, 037000978152, 037000978169, 037000978176, 037000978183</t>
  </si>
  <si>
    <t>https://images.ctfassets.net/9wtva4vhlgxb/2HlnCBa6TS7BgdotuDDb5v/8ee224519a051f193c49882f4955bfcf/swaddlers_280x195.png</t>
  </si>
  <si>
    <t>Pampers_Diapers_Swaddlers</t>
  </si>
  <si>
    <t>0030772256794</t>
  </si>
  <si>
    <t>030772256794</t>
  </si>
  <si>
    <t>https://sampling2-product-images-prod.s3.amazonaws.com/bvsampling/Pampers-Pampers_GiftSet.jpeg</t>
  </si>
  <si>
    <t>https://www.pampers.com/en-us/products/pampers-newborn-gift-set</t>
  </si>
  <si>
    <t>Newborn Gift Set- diapers with onesie, hat, milestone cards, coupons, and shutterfly gift</t>
  </si>
  <si>
    <t>PampersGiftSet Newborn</t>
  </si>
  <si>
    <t>Pampers_GiftSet</t>
  </si>
  <si>
    <t>037000276067, 037000275848, 037000276166, 037000276142, 037000276371</t>
  </si>
  <si>
    <t>https://sampling-photos-prod.s3.amazonaws.com/photos/4fc7794af4a1aec4bbeb6f619712d16d_00037000276142_C1C1.jpeg</t>
  </si>
  <si>
    <t>Pampers Pure Hybrid Cloth Diaper Cover - Full Floral</t>
  </si>
  <si>
    <t>037000276142</t>
  </si>
  <si>
    <t>030772049341</t>
  </si>
  <si>
    <t>80371910</t>
  </si>
  <si>
    <t>037000866084, 037000866152, 037000866169, 037000866176, 037000866213, 037000866220, 037000866282</t>
  </si>
  <si>
    <t>https://images.ctfassets.net/9wtva4vhlgxb/6Q6nbuFRikWbtEQP147iaE/362be9dc8dee7f35436b24567fd8cae4/M_SENSITIVE_DIAPER_324x286_RETINA.png</t>
  </si>
  <si>
    <t>https://www.pampers.com/en-us/diapers-wipes/pampers-swaddlers-sensitive-diapers</t>
  </si>
  <si>
    <t>Pampers® Swaddlers Sensitive™</t>
  </si>
  <si>
    <t>Pampers_Diapers_Swaddlers_Sensitive</t>
  </si>
  <si>
    <t>030772204337, 030772104323, 030772104293, 030772104347, 030772104309, 030772104330, 030772104286, 030772104316</t>
  </si>
  <si>
    <t>https://sampling2-product-images-prod.s3.amazonaws.com/bvsampling/Pampers-80859348.png?t=1754945413164</t>
  </si>
  <si>
    <t>https://www.pampers.com/en-us/products/pampers-ultraclean-wipes</t>
  </si>
  <si>
    <t>•5X Stronger: Pampers Ultra Clean Baby Wipes are 5X stronger than the leading US subbrand to help prevent tearing during diaper changes •Textured Cloth: Pampers Ultra Clean Baby Wipes grip the mess for a superior clean without fear of tearing • Superior Clean: Pampers Ultra Clean Baby Wipes clean better so you can use less (vs. the leading US Value Brand) • Free Of Harmful Ingredients: Hypoallergenic, unscented, 0% alcohol, fragrance, parabens, and plastic-free • pH-Balancing Formula: Pampers Ultra Clean Baby Wipes ph formula helps restore skin’s natural pH for clean, healthy skin • Multi-Purpose Wipes: Not just for diaper changes - Pampers Ultra Clean wipes are perfect for wiping hands, faces, removing makeup, or even cleaning off your pets’ paws! • 52 Baby Wipes</t>
  </si>
  <si>
    <t>Pampers Ultra Clean</t>
  </si>
  <si>
    <t>80859348</t>
  </si>
  <si>
    <t>037000173922, 037000174011, 037000929567, 037000929581, 037000929604, 037000929628</t>
  </si>
  <si>
    <t>http://cdn.multibrand3.pgsitecore.com/en-US/-/media/Pampers/Pampers-US/Images/Products/Underjams_Girls_Open.png?v=1-201503191811</t>
  </si>
  <si>
    <t>https://www.pampers.com/en-us/diapers-wipes/pampers-underjams-absorbent-night-wear-for-girls</t>
  </si>
  <si>
    <t>Pampers UnderJams Absorbent Night Wear for Girls</t>
  </si>
  <si>
    <t>761042441</t>
  </si>
  <si>
    <t>Pampers Swaddlers 360 Size 4, Pull-on diaper</t>
  </si>
  <si>
    <t>Swaddlers 360 Size 4</t>
  </si>
  <si>
    <t>Pampers_Swaddlers_360_EWOK_Size_4</t>
  </si>
  <si>
    <t>037000275046, 037000275084</t>
  </si>
  <si>
    <t>https://sampling-photos-prod.s3.amazonaws.com/photos/7421def26e12483c404817cb3e69950f_PAMP_PURE_HYB_TRIAL_KIT_TGT_1X_00037000275084_C1C1.jpeg</t>
  </si>
  <si>
    <t>Pampers Pure Protection Hybrid Cloth Diaper Trial Kit - 1 Reusable Cover + 13 Dispoable Inserts</t>
  </si>
  <si>
    <t>Pampers Pure Hybrid Trial Kit</t>
  </si>
  <si>
    <t>037000275084</t>
  </si>
  <si>
    <t>Pampers® Pure Hybrid Cloth Diaper Cover</t>
  </si>
  <si>
    <t>Pampers_Pure_Hybrid_Cover</t>
  </si>
  <si>
    <t>030772049358, 030772049341, 030772049334, 030772050019, 030772050057</t>
  </si>
  <si>
    <t>https://images.ctfassets.net/9wtva4vhlgxb/4tu1TSDdNuzpkny2ALbpmC/8d62af4ab7bff7003b73d8480bdd95ce/14.png</t>
  </si>
  <si>
    <t>Pampers® Pure Protection Training Underwear™</t>
  </si>
  <si>
    <t>PAMPERS_PURE_PROTECTION_TRAINING_UNDERWEAR</t>
  </si>
  <si>
    <t>030772018798, 030772018811</t>
  </si>
  <si>
    <t>https://images.ctfassets.net/9wtva4vhlgxb/3Kuomk1112JgeEmusARQeF/edca8ff147096842ece8bdf75316b454/sweetdreams_324x286.png</t>
  </si>
  <si>
    <t>https://www.pampers.com/en-us/products/swaddlers-sweet-dreams-wipes</t>
  </si>
  <si>
    <t>Pampers® Swaddlers Sweet Dreams</t>
  </si>
  <si>
    <t>Pampers_Swaddlers_Sweet_Dreams</t>
  </si>
  <si>
    <t>037000275435, 037000275459</t>
  </si>
  <si>
    <t>https://target.scene7.com/is/image/Target/GUEST_29d93984-959d-40a7-8880-d253ea7c7a99?fmt=webp&amp;wid=1400&amp;qlt=80</t>
  </si>
  <si>
    <t>Pampers Pure Protection Hybrid Cloth Diaper Disposable Inserts 62ct</t>
  </si>
  <si>
    <t>Pampers Pure Hybrid Disposable Inserts</t>
  </si>
  <si>
    <t>037000275435</t>
  </si>
  <si>
    <t>037000754671, 037000755333</t>
  </si>
  <si>
    <t>https://images.ctfassets.net/9wtva4vhlgxb/7yEUixCuKiZeihSiwGdBFC/4cfada35d5ca97e60245581ec09d7b1f/12.png</t>
  </si>
  <si>
    <t>https://www.pampers.com/en-us/products/pampers-fragrance-free-wipes</t>
  </si>
  <si>
    <t>Pampers® Baby-Clean Fragrance-Free Wipe</t>
  </si>
  <si>
    <t>Pampers_Fragrance_Free</t>
  </si>
  <si>
    <t>030772133446, 030772133453, 030772133460, 030772133477, 030772133484, 030772133491, 030772133507, 030772133514, 030772133521, 030772133538, 030772133545, 030772133552, 030772133569, 030772133576, 030772133583, 030772133590, 030772170632, 030772170670, 030772170687, 030772170694, 030772181416, 030772181423, 030772181430, 030772204771, 030772204788, 030772204825, 030772204832, 030772204887</t>
  </si>
  <si>
    <t>https://images.ctfassets.net/9wtva4vhlgxb/6LYy5MuuvwV1IgIimP8mwe/4c8e926fcacf96f23db2de22e35743d5/Swaddlers_360_PCP.png</t>
  </si>
  <si>
    <t>Pampers® Swaddlers 360°™</t>
  </si>
  <si>
    <t>PAMPERS_SWADDLERS_360</t>
  </si>
  <si>
    <t>037000506553, 037000506836, 037000507123, 037000580102, 037000580133, 037000872115, 037000872146, 037000872153</t>
  </si>
  <si>
    <t>https://images.ctfassets.net/9wtva4vhlgxb/ibieobHIHoyT1MoQAZt7a/9a30ec4bff0c10014c0574b10498b73a/multiuse_wipes_280x195.png</t>
  </si>
  <si>
    <t>https://www.pampers.com/en-us/products/pampers-multi-use-wipes</t>
  </si>
  <si>
    <t>Pampers® Multi-Use</t>
  </si>
  <si>
    <t>Pampers_MultiUse</t>
  </si>
  <si>
    <t>030772050057</t>
  </si>
  <si>
    <t>80372028</t>
  </si>
  <si>
    <t>030772043738, 030772073407, 030772098523, 030772204375, 037000754145, 037000754152, 037000754169, 037000914471</t>
  </si>
  <si>
    <t>https://images.ctfassets.net/9wtva4vhlgxb/FwBT0mJ962pgTGebq893M/59e1090627ed0443dc1fb183343fc4ad/02.png</t>
  </si>
  <si>
    <t>https://www.pampers.com/en-us/products/pampers-aqua-pure-wipes</t>
  </si>
  <si>
    <t>Pampers_AquaPure</t>
  </si>
  <si>
    <t>BV_WB_FAMILY:Pampers_Pure</t>
  </si>
  <si>
    <t>Pampers_Pure</t>
  </si>
  <si>
    <t>037000596554, 037000596431, 037000595946, 037000972006, 037000976509, 037000596448, 037000971900, 037000595656, 037000596271, 037000971368, 037000596059, 030772080634, 030772079010, 030772080672, 037000596516, 037000595939, 037000595601, 037000596073, 037000596479, 037000596486, 030772046517, 037000596455, 037000596066, 030772054185, 037000596530, 037000971177, 037000595908, 037000596547, 030772098158, 037000595700, 030772079027</t>
  </si>
  <si>
    <t>pampers_pure_protection_diapers</t>
  </si>
  <si>
    <t>030772244470, 030772244463, 030772244562, 030772244449, 030772244524, 030772244579, 030772244418, 030772244555, 030772244517, 030772244548, 030772244425, 030772244456, 030772244494, 030772244531, 030772244500, 030772244432, 030772244395, 030772244487, 030772244371, 030772244401</t>
  </si>
  <si>
    <t>https://sampling2-product-images-prod.s3.amazonaws.com/bvsampling/Amore-En_US-Pampers_AMORE.png?t=1766183882253</t>
  </si>
  <si>
    <t>https://www.pampers.com/en-us/product/amore</t>
  </si>
  <si>
    <t>Pampers AMORE is Pampers’ best diaper yet. Thoughtfully crafted with 60+ years of Pampers quality and expertise, reimagined for today. Built with 5 layers of protection, it is our most absorbent diaper. Pampers AMORE provides premium performance without compromise. They are Dermatologically accredited by the Skin Health Alliance and tested for 1000+ harmful chemicals. They are hypoallergenic and free of fragrance, parabens, elemental chlorine and latex (no natural rubber). They are crafted with the finest materials, making them soft as cashmere and gentle on your baby’s skin. Each diaper also features delicate patterns as cute as your little one. Pampers AMORE diapers are made with love in every detail.</t>
  </si>
  <si>
    <t>Pampers AMORE</t>
  </si>
  <si>
    <t>Pampers_AMORE</t>
  </si>
  <si>
    <t>037000233145, 037000265832, 037000265856, 037000265870, 037000820000, 037000820024, 037000820116, 037000827498, 037000827511, 037000827535, 037000959915, 037000959991, 037000960010, 037000960034, 037000960058, 037000960072, 037000960096, 037000969167, 037000969181, 037000969204</t>
  </si>
  <si>
    <t>http://cdn.multibrand3.pgsitecore.com/en-US/-/media/Pampers/Pampers-US/Images/Products/D1C1_NA_GFTSRWRD_GIRLS_424x355hk.jpg?h=355&amp;w=424&amp;v=1-201707131328&amp;hash=B1D982358DB1A9FFB1C389A4D96794C82358A6E2&amp;crop=1&amp;sc=0</t>
  </si>
  <si>
    <t>https://www.pampers.com/en-us/diapers-wipes/pampers-easy-ups-trainers-for-girls</t>
  </si>
  <si>
    <t>Pampers Easy Ups Training Underwear for Girls</t>
  </si>
  <si>
    <t>761042423</t>
  </si>
  <si>
    <t>037000833963, 037000833970, 037000833987, 037000834021</t>
  </si>
  <si>
    <t>https://images.ctfassets.net/9wtva4vhlgxb/6LrP3P8XkaIWRYbFtCIGBg/38b83808a180df9642d9174807bb07ca/05.png</t>
  </si>
  <si>
    <t>https://www.pampers.com/en-us/products/pampers-swaddlers-overnights</t>
  </si>
  <si>
    <t>Pampers® Swaddlers Overnights™</t>
  </si>
  <si>
    <t>pampers_swaddlers_overnights</t>
  </si>
  <si>
    <t>037000275497, 037000275565</t>
  </si>
  <si>
    <t>https://sampling-photos-prod.s3.amazonaws.com/photos/4a9d4bec7f58242ef3006fae82e731d6_PAMP_PURE_HYB_NT_INSRT_ENORM_TGT_00037000275565_C1C1.jpeg</t>
  </si>
  <si>
    <t>Pampers Pure Protection Hybrid Cloth Diaper Overnight Disposable Inserts 52ct</t>
  </si>
  <si>
    <t>Pampers Pure Hybrid Overnight Disposable Inserts</t>
  </si>
  <si>
    <t>037000275497</t>
  </si>
  <si>
    <t>030772104286, 030772104293, 030772104309, 030772104316, 030772104323, 030772104330, 030772104347, 030772204337</t>
  </si>
  <si>
    <t>https://images.ctfassets.net/9wtva4vhlgxb/7tEtA6OaT6giQexbATglgK/11958ea591652cb906d8aef2c2e9e46b/06.png</t>
  </si>
  <si>
    <t>https://www.pampers.com/en-us/products/pampers-free-and-gentle-wipes</t>
  </si>
  <si>
    <t>Pampers® Free &amp; Gentle™</t>
  </si>
  <si>
    <t>Pampers_Free_and_Gentle</t>
  </si>
  <si>
    <t>037000507246, 037000754619, 037000754671, 037000755227, 037000755234, 037000755241, 037000755258, 037000755326, 037000755333, 037000755340, 037000755357, 037000760207, 037000792963, 037000792994, 037000793199, 037000799474</t>
  </si>
  <si>
    <t>https://images.ctfassets.net/9wtva4vhlgxb/3NAv0tzwSGHcZv3L81qg45/1a137a754cd35f0e39cf96d56874c049/cc_unscented_324x286.png</t>
  </si>
  <si>
    <t>https://www.pampers.com/en-us/diapers-wipes/pampers-fragrance-free-wipes</t>
  </si>
  <si>
    <t>Pampers® Complete Clean™ Unscented</t>
  </si>
  <si>
    <t>761057122</t>
  </si>
  <si>
    <t>Pampers® Pure Hybrid Starter Kit</t>
  </si>
  <si>
    <t>Pampers_Pure_Hybrid_StarterKit</t>
  </si>
  <si>
    <t>037000802372, 037000965190</t>
  </si>
  <si>
    <t>https://res.cloudinary.com/pmprs/image/upload/c_scale,dpr_1.0,f_auto,q_auto/v20201113061747/pampersc3/en-us/-/media/pampers/estore-us/images/fullkit-image/pdp/nov/monitor_tealbg.png?v=1-202011130617</t>
  </si>
  <si>
    <t>https://www.pampers.com/en-us/lumi/smart-baby-monitor</t>
  </si>
  <si>
    <t>Designed with Logitech, a leader in smart monitoring systems. Never miss a moment with crystal clear HD resolution day or night, ultra-wide 180° view, 2-way and continuous background audio, and temperature and humidity tracking.</t>
  </si>
  <si>
    <t>Smart Baby Monitor</t>
  </si>
  <si>
    <t>E000000011</t>
  </si>
  <si>
    <t>LUMI</t>
  </si>
  <si>
    <t>Lumi</t>
  </si>
  <si>
    <t>020800924320, 020800924344, 020800924368, 020800924382, 020800924405, 020800924429, 037000641612</t>
  </si>
  <si>
    <t>https://res.cloudinary.com/pmprs/image/upload/c_scale,dpr_1.0,f_auto,q_auto/v20210120122830/pampersc3/en-us/-/media/pampers/estore-us/images/fullkit-image/pdp/nov/bundle_mustardbg.png?v=2-202101201228</t>
  </si>
  <si>
    <t>https://www.pampers.com/en-us/lumi/smart-baby-monitor-sleep-kit-bundle</t>
  </si>
  <si>
    <t>A better night’s sleep for the whole family. Combine the Smart Sleep System with the award-winning Smart Baby Monitor and peaceful nights become more than just a dream.</t>
  </si>
  <si>
    <t>Smart Baby Monitor + Sleep System</t>
  </si>
  <si>
    <t>E00000001</t>
  </si>
  <si>
    <t>https://www.lumibypampers.com/pricing</t>
  </si>
  <si>
    <t>Your plan is ready and waiting to guide you step by step to sleep success.  Get access today:</t>
  </si>
  <si>
    <t>Smart Sleep Coach</t>
  </si>
  <si>
    <t>Pampers_SSC_SmartSleepCoachSubscription</t>
  </si>
  <si>
    <t>037000002116, 037000002123, 037000002130, 037000002178, 037000008002, 037000065883</t>
  </si>
  <si>
    <t>https://www.pampers.com/en_US/images/pc/hb/lsp/products/prod_img_more_kandoo_soap_NA.jpg</t>
  </si>
  <si>
    <t>http://www.pampers.com/hand-soap-for-kids-kandoo</t>
  </si>
  <si>
    <t>Kandoo Handsoap, Body Wash and Shampoo</t>
  </si>
  <si>
    <t>761044192</t>
  </si>
  <si>
    <t>16n8p5scqgr7lpve64m2tvx8c</t>
  </si>
  <si>
    <t>037000061618</t>
  </si>
  <si>
    <t>https://www.pampers.com/en_US/images/pc/hb/products/prod_img_wipes_softcare_unscented_NA.jpg</t>
  </si>
  <si>
    <t>http://www.pampers.com/softcare-unscented-wipes</t>
  </si>
  <si>
    <t>&lt;li&gt;SoftCare unscented baby wipes are made with pure water&lt;/li&gt;
&lt;li&gt;Lotion with natural aloe &amp; vitamin E&lt;/li&gt;
&lt;li&gt;SoftCare baby wipes have thousands of soft cleansing buds&lt;/li&gt;
&lt;li&gt;Cleans gently like a baby’s washcloth&lt;/li&gt;
&lt;li&gt;Hypoallergenic&lt;/li&gt;</t>
  </si>
  <si>
    <t>Pampers® SoftCare Unscented Wipes</t>
  </si>
  <si>
    <t>10900815</t>
  </si>
  <si>
    <t>037000436904</t>
  </si>
  <si>
    <t>https://www.pampers.com/en_US/images/pc/hb/products/prod_img_wipes_sensitive_NA.jpg</t>
  </si>
  <si>
    <t>http://www.pampers.com/pampers-sensitive-baby-wipes</t>
  </si>
  <si>
    <t>&lt;li&gt;Pampers Sensitive baby wipes have PureCare lotion which conditions baby’s skin&lt;/li&gt;
&lt;li&gt;Pampers Sensitive wipes are dermatologist tested&lt;/li&gt;
&lt;li&gt;Hypoallergenic and Perfume Free&lt;/li&gt;
&lt;li&gt;#1 baby wipe of hospitals (based on sales data)&lt;/li&gt;
&lt;li&gt;Clinically proven mild baby wipes for your baby’s skin&lt;/li&gt;</t>
  </si>
  <si>
    <t>Pampers® Sensitive Baby Wipes</t>
  </si>
  <si>
    <t>10900807</t>
  </si>
  <si>
    <t>037000172311, 037000172406, 037000172468</t>
  </si>
  <si>
    <t>https://www.pampers.com/en_US/images/pc/hb/products/prod_img_diapers_swaddlers_sensitive_NA.jpg</t>
  </si>
  <si>
    <t>http://www.pampers.com/swaddlers-sensitive-diapers</t>
  </si>
  <si>
    <t>&lt;li&gt;Gentle and hypoallergenic&lt;/li&gt;
&lt;li&gt;Made with a touch of aloe&lt;/li&gt;
&lt;li&gt;Ultra breathability&lt;/li&gt;
&lt;li&gt;Color-changing Wetness Indicator (size NB, 1, 2)&lt;/li&gt;
&lt;li&gt;Umbilical cord notch (size NB only)&lt;/li&gt;</t>
  </si>
  <si>
    <t>Pampers® Swaddlers Sensitive diapers</t>
  </si>
  <si>
    <t>900802</t>
  </si>
  <si>
    <t>037000357919</t>
  </si>
  <si>
    <t>https://stage.pampers.com/en_US/products/new_layout/images/Nprdt_bibster_pock.gif</t>
  </si>
  <si>
    <t>http://stage.pampers.com/en_US/proddetail/baby-products/pocket-bibs-bibsters/id/900820</t>
  </si>
  <si>
    <t>Pocket Bibsters</t>
  </si>
  <si>
    <t>900820</t>
  </si>
  <si>
    <t>037000229476</t>
  </si>
  <si>
    <t>https://www.pampers.com/en_US/images/pc/hb/products/prod_img_wipes_pampers_thickcare_sensitive_NA.jpg</t>
  </si>
  <si>
    <t>http://www.pampers.com/pampers-sensitive-thickcare-wipes</t>
  </si>
  <si>
    <t>&lt;li&gt;Pampers Sensitive ThickCare wipes have PureCare lotion to condition baby’s skin&lt;/li&gt;
&lt;li&gt;Sensitive ThickCare baby wipes are dermatologist tested &amp; hypoallergenic&lt;/li&gt;
&lt;li&gt;Clinically proven mild &amp; perfume-free&lt;/li&gt;
&lt;li&gt;Thicker* to lift away mess from the skin (*vs. Pampers SoftCare™)&lt;/li&gt;
&lt;li&gt;Made with pure water&lt;/li&gt;</t>
  </si>
  <si>
    <t>Pampers® Sensitive ThickCare Baby Wipes</t>
  </si>
  <si>
    <t>10930825</t>
  </si>
  <si>
    <t>037000298854</t>
  </si>
  <si>
    <t>https://www.pampers.com/en_US/images/pc/hb/products/prod_img_wipes_pampers_thickcare_chamomile_NA.jpg</t>
  </si>
  <si>
    <t>http://www.pampers.com/thickcare-touch-of-chamomile-wipes</t>
  </si>
  <si>
    <t>&lt;li&gt;Pampers ThickCare baby wipes are hypoallergenic&lt;/li&gt;
&lt;li&gt;Lightly scented&lt;/li&gt;
&lt;li&gt;ThickCare baby wipes are over 50% stronger than Huggies Natural Care*&lt;/li&gt;
&lt;li&gt;Thick, quilted texture&lt;/li&gt;
&lt;li&gt;Cleans like a washcloth&lt;/li&gt;</t>
  </si>
  <si>
    <t>Pampers ThickCare Touch of Chamomile Wipes</t>
  </si>
  <si>
    <t>900832</t>
  </si>
  <si>
    <t>930825</t>
  </si>
  <si>
    <t>037000500964, 037000500971, 037000501022, 037000501053, 037000503354, 037000503361</t>
  </si>
  <si>
    <t>https://stage.pampers.com/en_US/products/new_layout/images/Nprd_print_new.gif</t>
  </si>
  <si>
    <t>http://stage.pampers.com/en_US/proddetail/baby-products/pampers-prints-diapers/id/900828</t>
  </si>
  <si>
    <t>&lt;li&gt;Two fun designs in every box: argyle and cars for boys, flowers and polka dots for girls&lt;/li&gt;
&lt;li&gt;Same absorbency and fit you've come to love with Pampers diapers&lt;/li&gt;
&lt;li&gt;Super-Stretchy sides for flexible fit&lt;/li&gt;
&lt;li&gt;Fun diapers that make great baby shower gifts&lt;/li&gt;</t>
  </si>
  <si>
    <t>Pampers Limited Edition Prints Diapers for Boys and Girls</t>
  </si>
  <si>
    <t>900828</t>
  </si>
  <si>
    <t>037000060826</t>
  </si>
  <si>
    <t>https://www.pampers.com/en_US/images/pc/hb/products/prod_img_wipes_babyfresh_NA.jpg</t>
  </si>
  <si>
    <t>http://www.pampers.com/softcare-baby-fresh-wipes</t>
  </si>
  <si>
    <t>&lt;li&gt;SoftCare baby wipes clean gently like a baby’s washcloth&lt;/li&gt;
&lt;li&gt;Made with pure water and lotion with vitamin E&lt;/li&gt;
&lt;li&gt;Pampers SoftCare baby wipes are hypoallergenic &lt;/li&gt;
&lt;li&gt;Pleasant baby powder scent&lt;/li&gt;
&lt;li&gt;Thousands of soft cleansing buds to help leave baby’s skin feeling perfectly clean&lt;/li&gt;</t>
  </si>
  <si>
    <t>Pampers SoftCare Baby Fresh Wipes</t>
  </si>
  <si>
    <t>10900814</t>
  </si>
  <si>
    <t>037000830122, 037000830139, 037000830146</t>
  </si>
  <si>
    <t>https://www.pampers.com/en_US/images/pc/hb/lsp/products/prod_img_diapers_cruiser_usa_NA.jpg</t>
  </si>
  <si>
    <t>http://www.pampers.com/pampers-cruisers-usa-prints</t>
  </si>
  <si>
    <t>&lt;li&gt;New Limited Edition USA Prints&lt;/li&gt;
&lt;li&gt;3-Way Fit gives babies the freedom to play their way&lt;/li&gt;
&lt;li&gt;Up to 12 hours of leakage protection&lt;/li&gt;</t>
  </si>
  <si>
    <t>Pampers® Cruisers USA Prints</t>
  </si>
  <si>
    <t>761054761</t>
  </si>
  <si>
    <t>037000119722</t>
  </si>
  <si>
    <t>https://stage.pampers.com/en_US/products/new_layout/images/Nprdt1_swiper1.gif</t>
  </si>
  <si>
    <t>http://stage.pampers.com/en_US/proddetail/baby-products/pampers-wipes-swipers/id/900808</t>
  </si>
  <si>
    <t>&lt;li&gt;Up to 20% thicker than regular Pampers Wipes&lt;/li&gt;
&lt;li&gt;Washcloth Weave texture for more durability over the leading brand&lt;/li&gt;
&lt;li&gt;Lightly scented&lt;/li&gt;</t>
  </si>
  <si>
    <t>Swipers Wipes</t>
  </si>
  <si>
    <t>900808</t>
  </si>
  <si>
    <t>037000262640, 037000278481, 037000278740, 037000279402, 037000279525</t>
  </si>
  <si>
    <t>https://www.pampers.com/en_US/images/pc/hb/products/prod_img_pampers_cruisers_NA.jpg</t>
  </si>
  <si>
    <t>http://www.pampers.com/pampers-cruisers</t>
  </si>
  <si>
    <t>&lt;li&gt;3-Way Fit gives babies our best fit ever so they have the freedom to play their way&lt;/li&gt;
&lt;li&gt;Pampers Cruisers diapers offer up to 12 hours of leakage protection&lt;/li&gt;
&lt;li&gt;Now with the quilted softness of Swaddlers&lt;/li&gt;
&lt;li&gt;New Sesame Street graphics feature your favorite characters on every diaper&lt;/li&gt;</t>
  </si>
  <si>
    <t>Pampers® Cruisers diapers</t>
  </si>
  <si>
    <t>10900827</t>
  </si>
  <si>
    <t>037000060673</t>
  </si>
  <si>
    <t>https://stage.pampers.com/en_US/products/new_layout/images/Nprdt_lavender.gif</t>
  </si>
  <si>
    <t>http://stage.pampers.com/en_US/proddetail/baby-products/pampers-baby-wipes-calming-lavender/id/900812</t>
  </si>
  <si>
    <t>&lt;li&gt;Comforting lavender scent helps calm your baby&lt;/li&gt;
&lt;li&gt;Thousands of soft cleansing buds leave your baby's skin feeling perfectly clean&lt;/li&gt;
&lt;li&gt;Made with pure water&lt;/li&gt;</t>
  </si>
  <si>
    <t>Calming Lavender Wipes</t>
  </si>
  <si>
    <t>900812</t>
  </si>
  <si>
    <t>037000298885</t>
  </si>
  <si>
    <t>https://www.pampers.com/en_US/images/pc/hb/products/prod_img_wipes_pampers_thickcare_unscented_NA.jpg</t>
  </si>
  <si>
    <t>http://www.pampers.com/thickcare-unscented-wipes</t>
  </si>
  <si>
    <t>&lt;li&gt;Pampers ThickCare baby wipes are hypoallergenic&lt;/li&gt;
&lt;li&gt;Over 50% stronger than Huggies Natural Care®*&lt;/li&gt;
&lt;li&gt;ThickCare baby wipes have a thick, quilted texture&lt;/li&gt;
&lt;li&gt;Unscented&lt;/li&gt;
&lt;li&gt;Cleans like a washcloth&lt;/li&gt;
&lt;br&gt;
*Huggies Natural Care is a registered trademark of Kimberly-Clark Worldwide, Inc.</t>
  </si>
  <si>
    <t>Pampers® ThickCare Unscented Wipes</t>
  </si>
  <si>
    <t>900829</t>
  </si>
  <si>
    <t>037000121244</t>
  </si>
  <si>
    <t>https://stage.pampers.com/en_US/products/new_layout/images/Nprdt_cleanngo1.gif</t>
  </si>
  <si>
    <t>http://stage.pampers.com/en_US/proddetail/baby-products/wipes-clean-and-go/id/900809</t>
  </si>
  <si>
    <t>&lt;li&gt;Helps wipe away dirt and germs from head to toe&lt;/li&gt;
&lt;li&gt;Dermatologically tested&lt;/li&gt;
&lt;li&gt;Tear-free&lt;/li&gt;</t>
  </si>
  <si>
    <t>Clean 'n Go Wipes</t>
  </si>
  <si>
    <t>900809</t>
  </si>
  <si>
    <t>10900829</t>
  </si>
  <si>
    <t>037000063902, 037000063919, 037000071082, 037000119210, 037000348955, 037000397984</t>
  </si>
  <si>
    <t>https://www.pampers.com/en_US/images/pc/hb/products/prod_img_diapers_swaddlers_NA.jpg</t>
  </si>
  <si>
    <t>http://www.pampers.com/new-baby-diapers-swaddlers</t>
  </si>
  <si>
    <t>900801</t>
  </si>
  <si>
    <t>10900802</t>
  </si>
  <si>
    <t>037000579939</t>
  </si>
  <si>
    <t>https://sampling-photos-prod.s3.amazonaws.com/photos/4d1c690d414dfd615901088bb360aba5_image_%2823%29.jpg</t>
  </si>
  <si>
    <t>Baby Wipe</t>
  </si>
  <si>
    <t>Expressions Wipes</t>
  </si>
  <si>
    <t>80335332</t>
  </si>
  <si>
    <t>037000285199, 037000285229, 037000285397, 037000285502, 037000348955, 037000397984</t>
  </si>
  <si>
    <t>&lt;li&gt;Color-changing Wetness Indicator (size NB, 1 and 2)&lt;/li&gt;
&lt;li&gt;The #1 choice of hospitals (based on sales data)&lt;/li&gt;
&lt;li&gt;Quilted blanket-like softness wraps babies in comfort and security&lt;/li&gt;
&lt;li&gt;Soft stretchy sides and overlapping fasteners give infants a flexible fit&lt;/li&gt;
&lt;li&gt;Umbilical cord notch (size NB only)&lt;/li&gt;</t>
  </si>
  <si>
    <t>Pampers® Swaddlers diapers</t>
  </si>
  <si>
    <t>10900826</t>
  </si>
  <si>
    <t>037000401803</t>
  </si>
  <si>
    <t>https://stage.pampers.com/en_US/products/new_layout/images/Nprdt_bibster.gif</t>
  </si>
  <si>
    <t>http://stage.pampers.com/en_US/proddetail/baby-products/baby-bibs-bibsters/id/900821</t>
  </si>
  <si>
    <t>Bibsters</t>
  </si>
  <si>
    <t>900821</t>
  </si>
  <si>
    <t>037000063964, 037000064008, 037000064039, 037000064060, 037000119104</t>
  </si>
  <si>
    <t>900803</t>
  </si>
  <si>
    <t>030772204313, 030772204320, 030772204344, 030772204368</t>
  </si>
  <si>
    <t>https://sampling2-product-images-prod.s3.amazonaws.com/bvsampling/Pampers-Pampers_Clean_and_Calm.png?t=1741790457602</t>
  </si>
  <si>
    <t>https://www.pampers.com/en-us/products/pampers-clean-and-calm-wipes</t>
  </si>
  <si>
    <t>Pampers® Clean &amp; Calm™ Cotton Blossom Scent</t>
  </si>
  <si>
    <t>Pampers® Clean &amp; Calm™</t>
  </si>
  <si>
    <t>Pampers_Clean_&amp;_Calm</t>
  </si>
  <si>
    <t>900807</t>
  </si>
  <si>
    <t>037000041757, 037000048770, 037000159186, 037000449904</t>
  </si>
  <si>
    <t>https://www.pampers.com/en_US/images/pc/hb/lsp/products/prod_image_wipes_kandoo.png</t>
  </si>
  <si>
    <t>http://www.pampers.com/flushable-wipes-kandoo</t>
  </si>
  <si>
    <t>&lt;li&gt;Cleans up to 30% better than toilet paper&lt;/li&gt;
&lt;li&gt;Perfect fit for little hands- about the size of two pieces of toilet
paper&lt;/li&gt;
&lt;li&gt;Available in a variety of scents, including Smellin' Melon, Magic Melon, Funny Berry, and Sensitive&lt;/li&gt;</t>
  </si>
  <si>
    <t>Kandoo Flushable Toilet Wipes</t>
  </si>
  <si>
    <t>761042387</t>
  </si>
  <si>
    <t>900826</t>
  </si>
  <si>
    <t>037000066859, 037000067450, 037000067511, 037000312901, 037000452157, 037000601487</t>
  </si>
  <si>
    <t>https://www.pampers.com/en_US/images/pc/hb/products/prdt_116x128_babydry.gif</t>
  </si>
  <si>
    <t>http://www.pampers.com/baby-diaper-baby-dry</t>
  </si>
  <si>
    <t>&lt;li&gt;Extra flexible tabs expand and contract with your baby&lt;/li&gt;
&lt;li&gt;UltraAbsorb Core&amp;trade; Outstanding overnight absorbance&lt;/li&gt;
&lt;li&gt;Comfortable contoured fit&lt;/li&gt;</t>
  </si>
  <si>
    <t>Baby Dry Diapers</t>
  </si>
  <si>
    <t>900804</t>
  </si>
  <si>
    <t>037000067559, 037000067702, 037000067795</t>
  </si>
  <si>
    <t>https://www.pampers.com/en_US/images/pc/hb/products/prod_img_pampers_easy_ups_boys_NA.jpg</t>
  </si>
  <si>
    <t>http://www.pampers.com/potty-training-boys-easy-ups</t>
  </si>
  <si>
    <t>&lt;li&gt;Helps potty training make sense during the day and protects against leaks at night&lt;/li&gt;
&lt;li&gt;Training pants designed for toddlers or preschoolers ready for potty training (18+ months old)&lt;/li&gt;
&lt;li&gt;The Feel 'n Learn&amp;reg; Liner helps your little boy feel when he's wet, so he can learn to stay dry&lt;/li&gt;</t>
  </si>
  <si>
    <t>Easy Ups Trainers for Boys</t>
  </si>
  <si>
    <t>10900805</t>
  </si>
  <si>
    <t>900815</t>
  </si>
  <si>
    <t>037000066989, 037000067634, 037000067726</t>
  </si>
  <si>
    <t>https://www.pampers.com/en_US/images/pc/hb/products/prod_img_pampers_easy_ups_girls_NA.jpg</t>
  </si>
  <si>
    <t>http://www.pampers.com/potty-training-girls-easy-ups</t>
  </si>
  <si>
    <t>&lt;li&gt;Helps potty training make sense during the day and protects against leaks at night&lt;/li&gt;
&lt;li&gt;Training pants designed for toddlers or preschoolers ready for potty training (18+ months old)&lt;/li&gt;
&lt;li&gt;The Feel 'n Learn&amp;reg; Liner helps your little girl feel when she's wet, so she can learn to stay dry&lt;/li&gt;</t>
  </si>
  <si>
    <t>Easy Ups Trainers for Girls</t>
  </si>
  <si>
    <t>10900806</t>
  </si>
  <si>
    <t>037000275046</t>
  </si>
  <si>
    <t>https://target.scene7.com/is/image/Target/GUEST_9740c937-0d2b-42fa-8462-c6595948f112?fmt=webp&amp;wid=1400&amp;qlt=80</t>
  </si>
  <si>
    <t>Pampers Pure Protection Hybrid Cloth Diaper Starter Kit - 3 Reusable Covers + 25 Disposable Inserts</t>
  </si>
  <si>
    <t>Pampers Pure Hybrid Starter Kit</t>
  </si>
  <si>
    <t>Instance: pampers</t>
  </si>
  <si>
    <t>Pampers-EN_US R&amp;R Key Metrics</t>
  </si>
  <si>
    <t>PAMPERS_OYASUMIPANTS_XXXL</t>
  </si>
  <si>
    <t>4902430421904, 4902430421928, 4902430422291, 4902430422307</t>
  </si>
  <si>
    <t>パンパースのはじめての肌への一番</t>
  </si>
  <si>
    <t>4902430368988</t>
  </si>
  <si>
    <t>PAMPERS_JP</t>
  </si>
  <si>
    <t>4902430707046</t>
  </si>
  <si>
    <t>https://images.ctfassets.net/fr4hq1ibrhag/VRrb9U22MAHrvcrTqNhAg/d96d788b0837d58cdaedcaed58f4589e/Wipe_324x286.png</t>
  </si>
  <si>
    <t>https://www.jp.pampers.com/products/pampers-wipe</t>
  </si>
  <si>
    <t>肌へのいちばん おしりふき</t>
  </si>
  <si>
    <t>http://cdn.multibrand.pgsitecore.com/ja-JP/-/media/Pampers/Pampers-JP/Images/Products/Product-Plus/LE-pants/LE_pants_packshot.jpg?h=230&amp;w=440&amp;v=1-201706151250&amp;crop=1&amp;sc=0</t>
  </si>
  <si>
    <t>https://www.jp.pampers.com/star-product/leading-edge-pants</t>
  </si>
  <si>
    <t>パンパースの肌へのいちばん（パンツ）</t>
  </si>
  <si>
    <t>Pampers_LeadingEdgePants_Star</t>
  </si>
  <si>
    <t>4902430574327, 4902430574358, 4902430574389, 4902430756075</t>
  </si>
  <si>
    <t>https://images.ctfassets.net/fr4hq1ibrhag/4q6qp26wzIb9cpxayTzZ27/6655f810d07803c4a2e87a722bb2c8e5/TOP-saracare-pants_324x286.png</t>
  </si>
  <si>
    <t>https://www.jp.pampers.com/products/pampers-main-line-pants</t>
  </si>
  <si>
    <t>さらさらケアパンツ Mたっち～XXL</t>
  </si>
  <si>
    <t>pampers_main_line_pants</t>
  </si>
  <si>
    <t>http://cdn.multibrand.pgsitecore.com/ja-JP/-/media/Pampers/Pampers-JP/Images/Products/Product-Plus/FS_pants_xxl/FS_pants_xxl_packshot.jpg?h=215&amp;w=355&amp;v=1-201612150506&amp;hash=0CE6725A52B5DEF985388F27352485181115E892&amp;crop=1&amp;sc=0</t>
  </si>
  <si>
    <t>https://www.jp.pampers.com/product/fs-pants-xxl</t>
  </si>
  <si>
    <t>パンパース さらさらパンツ ビッグより大きいサイズ</t>
  </si>
  <si>
    <t>FS_pants_xxl_Star</t>
  </si>
  <si>
    <t>4902430599245, 4902430599269</t>
  </si>
  <si>
    <t>http://cdn.multibrand.pgsitecore.com/ja-JP/-/media/Pampers/Pampers-JP/Images/Products/Primary/ValueTier_opened.png?v=1-201510071337</t>
  </si>
  <si>
    <t>https://www.jp.pampers.com/star-product/value-tier</t>
  </si>
  <si>
    <t>パンパースしっかり吸収パンツ</t>
  </si>
  <si>
    <t>4902430599245</t>
  </si>
  <si>
    <t>4902430574419, 4902430574433, 4902430574457, 4902430574471</t>
  </si>
  <si>
    <t>https://images.ctfassets.net/fr4hq1ibrhag/5UaHZ8llzduzPFSNEIXy3A/bc956253ccb9a49901f3afc8c64ea4d1/TOP-newborn-S_324x286.png</t>
  </si>
  <si>
    <t>https://www.jp.pampers.com/products/pampers-mainline-tape</t>
  </si>
  <si>
    <t>さらさらケア テープ</t>
  </si>
  <si>
    <t>Pampers_main_line_tape</t>
  </si>
  <si>
    <t>4902430651950, 4902430651967</t>
  </si>
  <si>
    <t>https://images.ctfassets.net/fr4hq1ibrhag/7a105821e68c7918013b42bd6a242c28216011814a962e097433039f5deefcd1/026c9810f1a3f8572408e65028c8f218/D_TOILET_TRAINING_560x390_RETINA</t>
  </si>
  <si>
    <t>https://www.jp.pampers.com/products/pampers-toilet-training-pants</t>
  </si>
  <si>
    <t>パンパース® 卒業パンツ</t>
  </si>
  <si>
    <t>Pampers_toilet_training</t>
  </si>
  <si>
    <t>http://cdn.multibrand.pgsitecore.com/ja-JP/-/media/Pampers/Pampers-JP/Images/Products/Product-Plus/LE-tape/LE_tape_packshot.jpg?h=230&amp;w=440&amp;v=1-201705150644&amp;crop=1&amp;sc=0</t>
  </si>
  <si>
    <t>https://www.jp.pampers.com/star-product/leading-edge</t>
  </si>
  <si>
    <t>パンパースのはじめての肌へのいちばん（テープ）</t>
  </si>
  <si>
    <t>Pampers_LeadingEdge_Star</t>
  </si>
  <si>
    <t>4902430156882, 4902430156912, 4902430156943, 4902430156974, 4902430576307, 4902430576314, 4902430576321, 4902430576338</t>
  </si>
  <si>
    <t>http://cdn.multibrand.pgsitecore.com/ja-JP/-/media/Pampers/Pampers-JP/Images/Products/Star-Products/Flagship-tape/mainPackShot.png?v=1-201510072352</t>
  </si>
  <si>
    <t>https://www.jp.pampers.com/star-product/flagship-tape</t>
  </si>
  <si>
    <t>パンパース さらさらケア テープ</t>
  </si>
  <si>
    <t>4-JP</t>
  </si>
  <si>
    <t>4987176077172, 4987176077219, 4987176079381</t>
  </si>
  <si>
    <t>https://images.ctfassets.net/fr4hq1ibrhag/3KA5iba2FMvUGKrrTOHUvS/6c4e9980fc35255a7742e4c3ab2d4ad7/Product-List-Oyasumi_324x286.png</t>
  </si>
  <si>
    <t>https://www.jp.pampers.com/products/pampers-oyasumipants</t>
  </si>
  <si>
    <t>おやすみパンツ</t>
  </si>
  <si>
    <t>Pampers_main_line_nightpants</t>
  </si>
  <si>
    <t>4902430679114, 4902430679138, 4902430679152, 4902430679176</t>
  </si>
  <si>
    <t>https://images.ctfassets.net/fr4hq1ibrhag/5ZOqSNvhCLPiDuTaEYIcdq/d131f6ec3a67fbbd4cac068a0b2c96d9/TOP-Tape-S54_324x286.png</t>
  </si>
  <si>
    <t>https://www.jp.pampers.com/products/pampers-premium-line-tape</t>
  </si>
  <si>
    <t>はじめての肌へのいちばんテープ</t>
  </si>
  <si>
    <t>Pampers_premium_line_tape</t>
  </si>
  <si>
    <t>4987176039736, 4987176039743, 4987176039750, 4987176039767, 4987176039774, 4987176039781</t>
  </si>
  <si>
    <t>https://images.ctfassets.net/fr4hq1ibrhag/1ucyWBLwtzdFVUMgHYMQ0K/b6b31574c9eb1ce3e9b0b1f92731b715/packshot_resize-removebg_0316.png</t>
  </si>
  <si>
    <t>https://www.jp.pampers.com/products/kazetoushi</t>
  </si>
  <si>
    <t>さらさら風通しパンツ</t>
  </si>
  <si>
    <t>Pampers_Summer_Pants</t>
  </si>
  <si>
    <t>4902430177283, 4902430177290</t>
  </si>
  <si>
    <t>http://cdn.multibrand.pgsitecore.com/ja-JP/-/media/Pampers/Pampers-JP/Images/Products/Product-Plus/toilet_training/mv.png?v=1-201710120225</t>
  </si>
  <si>
    <t>https://www.jp.pampers.com/product/toilet-training</t>
  </si>
  <si>
    <t>パンパース　卒業パンツ</t>
  </si>
  <si>
    <t>4902430177283</t>
  </si>
  <si>
    <t>4902430686297, 4902430686815, 4902430686839, 4902430686877, 4902430686891, 4902430686907</t>
  </si>
  <si>
    <t>https://images.ctfassets.net/fr4hq1ibrhag/6731d8958053d94bb674bef1e3e14dbc1bc4581841511fcce59d8351c0068750/ab958e1bf127dac0aa3e9fba1534de11/D_HARAMAKI_PANTS_560x390_RETINA</t>
  </si>
  <si>
    <t>https://www.jp.pampers.com/products/haramaki-pants</t>
  </si>
  <si>
    <t>パンパース®はらまきパンツ</t>
  </si>
  <si>
    <t>HARAMAKI_PANTS</t>
  </si>
  <si>
    <t>http://cdn.multibrand.pgsitecore.com/ja-JP/-/media/Pampers/Pampers-JP/Images/Products/Product-Plus/LE_preemie/LE_preemie_packshot.jpg?h=230&amp;w=440&amp;v=1-201612150631&amp;hash=E84E9BC5293A777EFE0C53EB98BC7C3267528256&amp;crop=1&amp;sc=0</t>
  </si>
  <si>
    <t>https://www.jp.pampers.com/star-product/le-preemie</t>
  </si>
  <si>
    <t>パンパースはじめての肌へのいちばん 新生児用小さめ 3000ｇ</t>
  </si>
  <si>
    <t>LE_tape_preemie_Star</t>
  </si>
  <si>
    <t>4902430680349, 4902430680387, 4902430680431, 4902430768603</t>
  </si>
  <si>
    <t>https://images.ctfassets.net/fr4hq1ibrhag/24vQdxIBJcFKPz647zshJp/99335c3ccb6bc0fcd77cf0989770bd31/packshot_PRMpants_324_286.png</t>
  </si>
  <si>
    <t>https://www.jp.pampers.com/products/pampers-premium-line-pants</t>
  </si>
  <si>
    <t>肌へのいちばんパンツMたっち～XL</t>
  </si>
  <si>
    <t>Pampers_premium_line_pants</t>
  </si>
  <si>
    <t>https://images.ctfassets.net/fr4hq1ibrhag/8fc5403651dadc269caf7c21d1afcb83be8ecc7f5124f9f96e586c5cc13e6a73/677f7328fe92dac1992356fd70705666/D_ONI_ONE_PANTS_560x390_RETINA</t>
  </si>
  <si>
    <t>https://www.jp.pampers.com/products/oni-san-one-san-pants</t>
  </si>
  <si>
    <t>おにいさん・おねえさん気分パンツ</t>
  </si>
  <si>
    <t>PAMPERS_ONI_ONE_SAN_PANTS</t>
  </si>
  <si>
    <t>4902430157018, 4902430157056, 4902430157087, 4902430540346, 4902430574280, 4902430576277, 4902430576284, 4902430576291, 4902430617475, 4902430617482</t>
  </si>
  <si>
    <t>http://cdn.multibrand.pgsitecore.com/ja-JP/-/media/Pampers/Pampers-JP/Images/Products/Star-Products/Flagship-pants/packshot/FS_Pants_packshot.png?v=1-201605100421</t>
  </si>
  <si>
    <t>https://www.jp.pampers.com/star-product/flagship-pants</t>
  </si>
  <si>
    <t>パンパース さらさらパンツ</t>
  </si>
  <si>
    <t>4902430148887</t>
  </si>
  <si>
    <t>4902430522816, 4902430574297</t>
  </si>
  <si>
    <t>http://media252.jp.pampers.com/ja_JP/images/pc/hb/lsp/products/prod_image_main_pants_trainingS.png</t>
  </si>
  <si>
    <t>http://www.jp.pampers.com/dry_training_pants_S</t>
  </si>
  <si>
    <t>1) 独自の１枚多いさらさらシート2) 素早く吸収するから、朝までずっと、お肌さらさら。 3) もちろん通気性ばっちり！コットンシート 4)ムレを逃して赤ちゃんのお肌は快適</t>
  </si>
  <si>
    <t>パンパースパンツ（Sサイズ)</t>
  </si>
  <si>
    <t>4902430532921</t>
  </si>
  <si>
    <t>Pampers JP</t>
  </si>
  <si>
    <t>15-JP</t>
  </si>
  <si>
    <t>http://media252.jp.pampers.com/ja_JP/images/pc/hb/lsp/products/Pants_SJ_S.png</t>
  </si>
  <si>
    <t>&lt;ul&gt;
&lt;li&gt;&lt;strong&gt;パンパースパンツ史上最高評価&lt;/strong&gt;&lt;br /&gt;10年ぶりの大型改良の新しいパンパースさらさらパンツは、パンパースパンツ史上最高評価を受けました。&lt;br /&gt;※Ｍサイズにおける生産ラインを含めた製品改良。&lt;/li&gt;
&lt;li&gt;&lt;strong&gt;さらさらスリムジェル&lt;/strong&gt;&lt;br /&gt;湿気まで吸収してムレさえ肌によせつけない！最長12時間お肌さらさら、朝までぐっすり。&lt;/li&gt;
&lt;li&gt;&lt;strong&gt;やわらかベルトで締めつけ感ゼロへ&lt;/strong&gt;&lt;br /&gt;ベルトがやわらかくなって、赤ちゃんの肌を締めつけずに安心のフィット感を実現しました。&lt;/li&gt;
&lt;li&gt;&lt;strong&gt;赤ちゃんのおしりをすっぽりつつむかたちに改良！&lt;/strong&gt;&lt;br /&gt;おしりをすっぽりつつむかたちになり、元気に動いてもおしりに食い込みにくくなりました。&lt;br /&gt;※実際の着用感には個人差があります。&lt;/li&gt;
&lt;li&gt;&lt;strong&gt;もちろん通気性ばっちり！コットンシート&lt;/strong&gt;&lt;br /&gt;ムレを逃がして赤ちゃんのお肌は快適。&lt;br /&gt;※“コットンシート”はコットンのような肌ざわりのシートです。コットンは含まれていません。&lt;/li&gt;
&lt;/ul&gt;</t>
  </si>
  <si>
    <t>パンパースさらさらパンツ（Sサイズ）</t>
  </si>
  <si>
    <t>4902430522816</t>
  </si>
  <si>
    <t>http://media251.jp.pampers.com/ja_JP/images/pc/hb/products/prod_img_pants_trainingpants.jpg</t>
  </si>
  <si>
    <t>http://www.jp.pampers.com/training_pants</t>
  </si>
  <si>
    <t>1) ぬれた感じがするシート 少量のおしっこを表面にとどめて、ぬれた感じに気づくきっかけをお子様に与えます。 2) パンパースならではのしっかり吸収力 3) 下着みたいなカタチと、男女別デザイン トイレへ誘いやすい しまじろうデザイン！ 全部で8種類のデザイン。1袋に2種類のデザインが入っています。 （まれに混在することがあります</t>
  </si>
  <si>
    <t>7-JP</t>
  </si>
  <si>
    <t>http://dev25.jp.pampers.com/ja_JP/images/pc/hb/products/prod_img_wipes_fuwafuwa.jpg</t>
  </si>
  <si>
    <t>http://dev25.jp.pampers.com/soft_wipes</t>
  </si>
  <si>
    <t>素肌とおなじ弱酸性のふわふわシート。
デリケートな赤ちゃんの肌は、うんちやおしっこなど、色々な刺激にさらされています。パンパースのふわふわシートは、赤ちゃんのお肌を健康な素肌と同じ弱酸性に近づけるパンパース独自の成分を配合！敏感な赤ちゃんのお肌への刺激を防ぎます！
やわらかい素材で、デリケートな赤ちゃんの肌をごしごしせずに、ふわふわやさしくふきとれるから、お肌にやさしい。
一枚でたっぷりふける、厚手で大判サイズなのもうれしいですね。</t>
  </si>
  <si>
    <t>パンパース　ふわふわシート</t>
  </si>
  <si>
    <t>11-JP</t>
  </si>
  <si>
    <t>4902430421911</t>
  </si>
  <si>
    <t>http://media25.jp.pampers.com/ja_JP/images/pc/hb/products/prod_img_diapers_gallopS.jpg</t>
  </si>
  <si>
    <t>http://www.jp.pampers.com/dry_diapers_S</t>
  </si>
  <si>
    <t>1) 肌を包むものだから、やわらかさプラス* 生まれたばかりの赤ちゃんをやさしく包んであげるために、コットンのようなやわらかさをオムツにプラス。 思わずさわりたくなるような、なめらかな肌ざわりを追求しました。 ※当社他製品比較 2) 穴あきメッシュでお肌への刺激となるゆるゆるうんちを吸収 生まれたばかりの赤ちゃんのおしりは、とってもかぶれやすい。 肌への刺激となるゆるゆるウンチを吸収し、できるだけ肌にくっつきにくくするために、独自の穴あきメッシュを使いました。 赤ちゃんをオムツかぶれから守ってあげるための、工夫です。 3) 360度※通気性 360度通気するから、ムレを防いでお肌快適。 生まれたばかりの赤ちゃんのお肌をオムツかぶれから守ります。 ※テープ・テープの受け部には通気性がありません。 4) 素肌とおなじ弱酸性の吸収層 パンパース独自の弱酸性の吸収層は、オムツの中を 素肌とおなじ弱酸性に近づける調整機能でおしっこやウンチによるお肌への刺激を防ぎます 5) 最長10時間の吸収力 パンパース独自の一枚多いシートがついて、最長10時間の吸収力</t>
  </si>
  <si>
    <t>パンパースのはじめての肌へのいちばん　（Sサイズ）</t>
  </si>
  <si>
    <t>4902430148597, 4902430574419</t>
  </si>
  <si>
    <t>http://media251.jp.pampers.com/ja_JP/images/pc/hb/products/prod_img_diapers_tappedNB.jpg</t>
  </si>
  <si>
    <t>http://www.jp.pampers.com/dry_taped_diapers_Newborns</t>
  </si>
  <si>
    <t>1) パンパースだけの一枚多いぐっすりシートでもっとすばやくさらさら。吸収力は最長10時間。
		2) パンパースだけの素肌と同じ弱酸性のシートで、お肌への刺激を防ぎます。
		3) 通気性のいいコットンシートが、ムレを逃がして赤ちゃんのお肌は快適。 * “コットンシート”はコットンのような肌ざわりのシートです。コットンは含まれていません。</t>
  </si>
  <si>
    <t>パンパース　さらさらケアテープ（新生児サイズ）</t>
  </si>
  <si>
    <t>4902430148597</t>
  </si>
  <si>
    <t>http://media25.jp.pampers.com/ja_JP/images/pc/hb/products/prod_img_diapers_12f4.jpg</t>
  </si>
  <si>
    <t>http://www.jp.pampers.com/dry_training_pants_Bigsize</t>
  </si>
  <si>
    <t>1)90%のママが実感！体型に合ってモレ防止 2)    いろんな動きでもモレを防ぐ、のびのびフィット  3) 通気性のいいコットンシート*使用でオムツの中のムレを防ぎます。 * “コットンシート”はコットンのような肌ざわりのシートです。コットンは含まれていません。</t>
  </si>
  <si>
    <t>パンパース　さらさらケアパンツ　（ビックサイズ）</t>
  </si>
  <si>
    <t>6-JP</t>
  </si>
  <si>
    <t>http://dev25.jp.pampers.com/ja_JP/images/pc/hb/products/prod_img_diapers_gallopNB.jpg</t>
  </si>
  <si>
    <t>http://dev25.jp.pampers.com/dry_diapers_Newborns</t>
  </si>
  <si>
    <t>妊娠、ご出産おめでとうございます。生まれたての赤ちゃんの肌はとってもデリケート！だからパンパースのはじめての肌へのいちばん。パンパースシリーズは、病産院使用率*No.1 生まれたての赤ちゃんにもお使いいただけます。*当社調査（新生児用データ）</t>
  </si>
  <si>
    <t>パンパースのはじめての肌へのいちばん　（新生児サイズ）</t>
  </si>
  <si>
    <t>8-JP</t>
  </si>
  <si>
    <t>4902430148948, 4902430574389</t>
  </si>
  <si>
    <t>http://media25.jp.pampers.com/ja_JP/images/pc/hb/lsp/products/Pants_SJ_XL.png</t>
  </si>
  <si>
    <t>パンパースさらさらパンツ（ビッグサイズ）</t>
  </si>
  <si>
    <t>4902430148948</t>
  </si>
  <si>
    <t>4902430148825, 4902430574327</t>
  </si>
  <si>
    <t>http://media252.jp.pampers.com/ja_JP/images/pc/hb/lsp/products/Pants_SJ_M.png</t>
  </si>
  <si>
    <t>http://www.jp.pampers.com/dry_training_pants_M</t>
  </si>
  <si>
    <t>パンパースさらさらパンツ（Mサイズ）</t>
  </si>
  <si>
    <t>4902430148825</t>
  </si>
  <si>
    <t>4902430421898</t>
  </si>
  <si>
    <t>http://media252.jp.pampers.com/ja_JP/images/pc/hb/lsp/products/prod_image_main_diaper_dryXL.png</t>
  </si>
  <si>
    <t>http://www.jp.pampers.com/dry_diapers_Newborns</t>
  </si>
  <si>
    <t>4902430215992</t>
  </si>
  <si>
    <t>4902430148641, 4902430574433</t>
  </si>
  <si>
    <t>http://media25.jp.pampers.com/ja_JP/images/pc/hb/products/prod_img_diapers_tappedS.jpg</t>
  </si>
  <si>
    <t>http://www.jp.pampers.com/dry_taped_diapers_S</t>
  </si>
  <si>
    <t>1)新改良！パンパースだけの一枚多いぐっすりシートでもっとすばやくさらさら。
		2)パンパースだけの素肌と同じ弱酸性のシートで、お肌への刺激を防ぎます。
		3)通気性のいいコットンシートが、ムレを逃がして赤ちゃんのお肌は快適。 * “コットンシート”はコットンのような肌ざわりのシートです。コットンは含まれていません。</t>
  </si>
  <si>
    <t>パンパース　さらさらケアテープ（Sサイズ）</t>
  </si>
  <si>
    <t>4902430148641</t>
  </si>
  <si>
    <t>Instance: pampers-ja_jp</t>
  </si>
  <si>
    <t>Pampers-JA_JP R&amp;R Key Metrics</t>
  </si>
  <si>
    <t>2-DE</t>
  </si>
  <si>
    <t>4-DE</t>
  </si>
  <si>
    <t>1-DE</t>
  </si>
  <si>
    <t>9-DE</t>
  </si>
  <si>
    <t>10-DE</t>
  </si>
  <si>
    <t>6-DE</t>
  </si>
  <si>
    <t>4015400689379, 4015400695578, 4015400695592, 4015400695615, 4015400695653, 4015400695677, 4015400695691, 4015400695714, 4015400695769, 4015400695783, 4015400695806, 4015400695837, 4015400696155, 4015400696186, 4015400696216, 4015400696247, 4015400705130, 4015400705161, 4015400717416, 4015400729624, 4015400729655, 4015400729679, 4015400730804</t>
  </si>
  <si>
    <t>http://www.pampers.de/starprodukt/pampers-baby-dry</t>
  </si>
  <si>
    <t>711155943-DE</t>
  </si>
  <si>
    <t>PAMPERS_DE</t>
  </si>
  <si>
    <t>4015400557456, 4015400557487, 4015400557517, 4015400557548, 4015400557579, 4015400617693, 4015400617778, 4015400617792, 4015400618232, 4015400618256, 4015400618270, 4015400618836, 4015400618898, 4015400618928, 4015400618959, 4015400619543, 4015400619574, 4015400619604, 4015400619635, 4015400619666, 4015400619697, 4015400622543, 4015400691969, 4015400696315, 4015400696377, 4015400696407, 4015400696438, 4015400696469, 4015400703327, 4015400729204</t>
  </si>
  <si>
    <t>711155941-DE</t>
  </si>
  <si>
    <t>4015400535942, 4015400535973, 4015400536000, 4015400536031, 4015400536062, 4015400536277, 4015400536291</t>
  </si>
  <si>
    <t>3-DE</t>
  </si>
  <si>
    <t>4015400549710, 4015400549741, 4015400549802, 4015400613909, 4015400686484, 4015400687030, 4015400687078, 4015400687092</t>
  </si>
  <si>
    <t>http://cdn.multibrand.pgsitecore.com/de-DE/-/media/Pampers/Pampers-DE/Images/Products/Regular-Products/Primary/Simply_Dry_UNICEF_635x330.png?v=1-201608021159</t>
  </si>
  <si>
    <t>https://www.pampers.de/regulares-produkt/pampers-simply-dry</t>
  </si>
  <si>
    <t>711155944-DE</t>
  </si>
  <si>
    <t>https://images.ctfassets.net/vvzbftwk9keg/3se9ssBRj7cJEAke26LSw2/23994cbc4eda6e0d81e2c6ff1e93d5d0/324x286px_ninjamas_boys.png</t>
  </si>
  <si>
    <t>https://www.pampers.de/produkte/pampers-ninjamas-pyjama-pants</t>
  </si>
  <si>
    <t>NINJAMAS PYJAMA PANTS</t>
  </si>
  <si>
    <t>8006530258821, 8006540710791, 8700216670531, 8006530204033, 8006530288491, 8006530204057, 8006530288538, 8006530288668, 8006530204132, 8006530253260, 8700216670500, 8006530256117, 8006530204088, 8006540711408, 8700216705301, 8006530254328, 8700216670418, 8700216670630, 8700216670555, 8006530256513, 8700216596701, 8700216614214, 8700216595841, 8006530385237, 8006530256469, 8006530256483, 8006530385282, 8700216670609, 8006530253482, 8700216670685, 8700216670647, 8006530253017, 8006530253215, 8006530276320, 8006530253079, 8006530254397, 8006540711781, 8006530385305, 8006530288545, 8006540710876, 8700216670517, 8700216614252, 8700216595810, 8006530253284, 8700216670371, 8006530253031, 8006530258869, 8006530254427, 8006540711248, 8006530258852, 8700216596671, 8700216595858, 8006530385343, 8700216670463, 8700216670401, 8006540711385, 8006530256421, 8700216596725, 8006540711767, 8006530204194, 8006530256391, 8700216929721, 8006530256124, 8006530253239, 8700216614290, 8006530254359, 8700216595681, 8700216595773, 8700216670593, 8006530253246, 8700216929691, 8006530256100, 8700216595759, 8700216596596, 8700216670456, 8006540711156, 8700216595704, 8700216596633, 8006530253130, 8006530288453, 8700216595629, 8006530253055</t>
  </si>
  <si>
    <t>https://images.ctfassets.net/vvzbftwk9keg/2PyrigU93zoJ7VPTV7p0Un/eee4673842f3482412f3ac9901e032d4/pdp_pampers_bd_pants_no_back.png</t>
  </si>
  <si>
    <t>https://www.pampers.de/produkte/pampers-baby-dry-pants</t>
  </si>
  <si>
    <t>http://cdn.multibrand.pgsitecore.com/de-DE/-/media/Pampers/Pampers-DE/Images/Products/Regular-Products/Primary/Underjams_Girls_630x330.png?v=1-201608021159</t>
  </si>
  <si>
    <t>https://www.pampers.de/regulares-produkt/pampers-underjams-pyjama-pants---girls</t>
  </si>
  <si>
    <t>Pampers UnderJams Pyjama Pants - girls</t>
  </si>
  <si>
    <t>16-DE</t>
  </si>
  <si>
    <t>8001841077598, 8006530134422, 8001841078441, 8001841078175, 8006530134583, 8006540174746, 8001841078052, 8006530134552, 8001841078137, 8001841078496, 8001841041360</t>
  </si>
  <si>
    <t>https://images.ctfassets.net/vvzbftwk9keg/f4S2CMtEjG0QL7rzkvSCj/0a367e37f99dd6d685d48e0566d03e57/pdp_pampers_freshclean_no_back.png</t>
  </si>
  <si>
    <t>https://www.pampers.de/produkte/pampers-fresh-clean-feuchttucher</t>
  </si>
  <si>
    <t>Pampers® Fresh Clean™ Feuchttücher</t>
  </si>
  <si>
    <t>http://cdn.multibrand.pgsitecore.com/de-DE/-/media/Pampers/Pampers-DE/Images/Products/Regular-Products/Primary/underjams_Boys_630x330.png?v=1-201608021159</t>
  </si>
  <si>
    <t>https://www.pampers.de/regulares-produkt/pampers-uderjams-pyjama-pants---boys</t>
  </si>
  <si>
    <t>Pampers UnderJams Pyjama Pants - boys</t>
  </si>
  <si>
    <t>15-DE</t>
  </si>
  <si>
    <t>8001090468093, 8001090468154, 8001090468710</t>
  </si>
  <si>
    <t>http://cdn.multibrand.pgsitecore.com/de-DE/-/media/Pampers/Pampers-DE/Images/Products/Regular-Products/Primary/540x327_01.png?v=1-201704131358</t>
  </si>
  <si>
    <t>https://www.pampers.de/regulares-produkt/pampers-splashers</t>
  </si>
  <si>
    <t>Pampers Splashers</t>
  </si>
  <si>
    <t>Pampers_Splashers_Diapers</t>
  </si>
  <si>
    <t>8006530256599, 8006530256278, 8006530256353, 8006530253147, 8700216669757, 8700216669887, 8700216958073, 8006530256575, 8006530253376, 8006530021173, 8006530021296, 8006530253437, 8006540711828, 8006530256537, 8006530256292, 8006530256346, 8006530253390, 8006530256643, 8700216958066, 8700216669832, 8006530253338, 8006530021210, 8006540710739, 8006530253468, 8700216958080, 8700216669764, 8006530253109, 8700216669696, 8006530189033, 8006540711309, 8006530256247, 8006530256551, 8006530021227, 8006530021241, 8006530256254, 8700216669795, 8006530253185, 8006530317894, 8006530021289, 8006530253314</t>
  </si>
  <si>
    <t>https://images.ctfassets.net/vvzbftwk9keg/26CEkGeBxZxiGU2nPmVHve/33e15bfb8973c16a580ee2270e52c2f2/pdp_pampers_night_pants_no_back.png</t>
  </si>
  <si>
    <t>https://www.pampers.de/produkte/pampers-baby-dry-night-pants</t>
  </si>
  <si>
    <t>Pampers® Night Pants™</t>
  </si>
  <si>
    <t>4015400617778, 4015400617792, 4015400622543, 4015400696377, 4015400696407, 4015400696438, 4015400696469</t>
  </si>
  <si>
    <t>https://res.cloudinary.com/pmprs/image/upload/c_scale,f_auto,q_60/v20191209235035/pampersc1/de-de/-/media/pampers/pampers-de/images/products/product-oasis/closed-module/premium-protection-active-fit/closedmodule-activefit-de.png?v=1-201709211110</t>
  </si>
  <si>
    <t>https://www.pampers.de/produkte/pampers-premium-protection-active-fit-windeln</t>
  </si>
  <si>
    <t>WINDELN Pampers Premium Protection Active Fit</t>
  </si>
  <si>
    <t>Pampers_Active_Fit_2</t>
  </si>
  <si>
    <t>4015400885399, 4015400886570, 4015400887140, 4015400887270, 4015400887539, 4015400888086, 4015400890300, 4015400892342</t>
  </si>
  <si>
    <t>http://cdn.multibrand.pgsitecore.com/de-DE/-/media/3D6658D8A0BF4E75B3E2D050FABCF4E1.ashx</t>
  </si>
  <si>
    <t>https://www.pampers.de/produkte/pampers-sleep-and-play-windeln</t>
  </si>
  <si>
    <t>WINDELN   Pampers Sleep and Play</t>
  </si>
  <si>
    <t>PSP-DE</t>
  </si>
  <si>
    <t>4015400827481</t>
  </si>
  <si>
    <t>http://cdn.multibrand.pgsitecore.com/de-DE/-/media/Pampers/Pampers-DE/Images/Products/Regular-Products/Primary/ChangeMats_630x330.png?v=1-201608021159</t>
  </si>
  <si>
    <t>https://www.pampers.de/regulares-produkt/pampers-changemats</t>
  </si>
  <si>
    <t>Pampers Change Mats</t>
  </si>
  <si>
    <t>22-DE</t>
  </si>
  <si>
    <t>8006530131780, 8006530256797, 8006530189842, 8700216664554, 8700216664752, 8700216664585, 8006540705674, 8006530107105, 8700216664905, 8006530189866, 8006530132084, 8006530131605, 8006530256773, 8700216679015, 8700216665056, 8700216664448, 8006530189903, 8006530189804, 8006530131919, 8700216664479, 8700216665216, 8700216665162, 8006540705513, 8700216664936, 8700216665117, 8006530131148, 8006530131315, 8006530132114, 8006530131889, 8006530131650, 8700216418195, 8006530131964, 8006530152105, 8700216664899, 8700216665100, 8006530256698, 8700216664769, 8006530131766, 8006530152143, 8700216664721, 8006530131834, 8006530131575, 8700216664684, 8006530256810, 8700216664776, 8006530131506, 8006540705643, 8700216664844, 8006530131711, 8006530131216, 8006530132176, 8006530131360, 8006530131421, 8700216665193, 8006530189835, 8006530131469, 8006530132251, 8006530131629, 8006530256742, 8006530132008, 8006530131209, 8700216664677, 8006530256865, 8006530132374, 8006530256827, 8006530131179, 8006540705612, 8700216664509, 8700216665261, 8006530132169, 8006540705575, 8006530131681, 8006530107099, 8006530256704, 8006530132299, 8700216665308, 8006530152150, 8006530152181, 8700216664615, 8006530256735, 8006530131988, 8700216664547, 8006530131353, 8006530256841, 8006530107129, 8006540705544, 8006530132206, 8700216664622, 8700216664431, 8700216665001, 8006530132282, 8006530132350, 8006530131803, 8700216664370</t>
  </si>
  <si>
    <t>https://images.ctfassets.net/vvzbftwk9keg/4rKAXdGJRKOAWHWDXQ31ml/dcd1a73a6652915fe29be6b4922af079/pdp_pampers_pp_taped_no_back.png</t>
  </si>
  <si>
    <t>https://www.pampers.de/produkte/pampers-premium-protection-windeln</t>
  </si>
  <si>
    <t>Pampers® Premium Protection™ Windeln</t>
  </si>
  <si>
    <t>8006540705513, 8006540705544, 8700216207423, 8700216207614, 8700216207645, 8700216207669, 8700216359122, 8700216359177, 8700216359207</t>
  </si>
  <si>
    <t>https://images.ctfassets.net/vvzbftwk9keg/79vDe4dEQ6447LkqcDtwuV/e0b668a3b776f624962f5274e56b30f0/324x286px_pp_daipers.png</t>
  </si>
  <si>
    <t>https://www.pampers.de/produkte/pampers-premium-protection-new-baby-windeln</t>
  </si>
  <si>
    <t>Pampers® Premium Protection™ New Baby</t>
  </si>
  <si>
    <t>711155922-DE</t>
  </si>
  <si>
    <t>4015400623496, 4015400623588, 4015400670414</t>
  </si>
  <si>
    <t>https://www.pampers.de/produkte/pampers-new-baby-sensitive-feuchttucher</t>
  </si>
  <si>
    <t>FEUCHTTÜCHER   Pampers® New Baby Sensitive™ Feuchttücher</t>
  </si>
  <si>
    <t>19-DE</t>
  </si>
  <si>
    <t>4015400333449</t>
  </si>
  <si>
    <t>http://cdn.multibrand.pgsitecore.com/de-DE/-/media/Pampers/Pampers-DE/Images/Products/Regular-Products/Primary/BedMats_630x330.png?v=1-201608021159</t>
  </si>
  <si>
    <t>https://www.pampers.de/regulares-produkt/pampers-bedmats</t>
  </si>
  <si>
    <t>Pampers Bed Mats</t>
  </si>
  <si>
    <t>21-DE</t>
  </si>
  <si>
    <t>http://cdn.multibrand.pgsitecore.com/de-DE/-/media/Pampers/Pampers-DE/Images/Products/Regular-Products/Primary/Kandoo_630x330.png?v=1-201503251056</t>
  </si>
  <si>
    <t>https://www.pampers.de/regulares-produkt/kandoo</t>
  </si>
  <si>
    <t>7-DE</t>
  </si>
  <si>
    <t>4015400835813, 4015400835899</t>
  </si>
  <si>
    <t>http://cdn.multibrand.pgsitecore.com/de-DE/-/media/Pampers/Pampers-DE/Images/Products/StarProduct/New-baby-sensitive/New-Baby-Sensitive-Packshot.png?v=1-201608021159</t>
  </si>
  <si>
    <t>https://www.pampers.de/starprodukt/pampers-new-baby-sensitive</t>
  </si>
  <si>
    <t>Pampers New Baby Sensitive</t>
  </si>
  <si>
    <t>8006540810286, 8006540810347, 8006540810361, 8006540815533, 8006540986165</t>
  </si>
  <si>
    <t>https://images.ctfassets.net/vvzbftwk9keg/tKoGMlP0kFta864qGJrJm/5375cd6e73d8a2f33272f874c5c03a14/324x286px_wipes_coco.png</t>
  </si>
  <si>
    <t>https://www.pampers.de/produkte/pampers-coconut-pure-wipes</t>
  </si>
  <si>
    <t>Pampers Harmonie Coconut Feuchttücher</t>
  </si>
  <si>
    <t>8006540867952, 8006540867976, 8006540867990</t>
  </si>
  <si>
    <t>https://images.ctfassets.net/vvzbftwk9keg/12sSn2gGyrKGJHUKv3Ztr9/680210be9161ec0303cce953e3d936b0/pdp_pampers_harmonie_pants_no_back.png</t>
  </si>
  <si>
    <t>https://www.pampers.de/produkte/pampers-harmonie-pants</t>
  </si>
  <si>
    <t>Pampers® Harmonie Pants™</t>
  </si>
  <si>
    <t>8700216664332, 8700216679381, 8700216679176, 8006530286824, 8006530288644, 8006530283298, 8006540759059, 8006530288576, 8700216679435, 8006540710517, 8006530283311, 8700216679183, 8700216679121, 8700216679268, 8006540710494, 8700216679404, 8700216679336, 8700216679466, 8006540710531, 8006530288613, 8700216679275, 8700216679107, 8700216679312, 8006530283335, 8700216679091</t>
  </si>
  <si>
    <t>https://images.ctfassets.net/vvzbftwk9keg/4QX7500kYRGUIOZUk2JaZA/b0ac803fcf132fb0c223688c49bbf154/pdp_pampers_pp_pants_no_back.png</t>
  </si>
  <si>
    <t>https://www.pampers.de/produkte/pampers-premium-protection-pants</t>
  </si>
  <si>
    <t>PREMIUM_PROTECTION_PANTS</t>
  </si>
  <si>
    <t>https://images.ctfassets.net/vvzbftwk9keg/1QZPrLHNFMLQ5XA2yUksEs/803028d271beebd6d55e3a3cb4c4236b/pdp_pampers_splashers_no_back.png</t>
  </si>
  <si>
    <t>https://www.pampers.de/produkte/pampers-splashers</t>
  </si>
  <si>
    <t>Pampers® Splashers Baby Shark™ Schwimmwindeln</t>
  </si>
  <si>
    <t>SPLASHERS_BABY_SHARK</t>
  </si>
  <si>
    <t>8001841062792, 8001841063188, 8006530134668, 8006530134750, 8001841041452, 8001841041391, 8001841062754, 8006540174531, 8006530134521, 8001841041421, 8001841041483</t>
  </si>
  <si>
    <t>https://www.pampers.de/produkte/pampers-sensitive-feuchttucher</t>
  </si>
  <si>
    <t>Pampers® Sensitive™ Feuchttücher</t>
  </si>
  <si>
    <t>8700216668224, 8006540867921, 8700216668477, 8700216668194, 8700216668347, 8700216668729, 8700216668699, 8700216668255, 8700216251259, 8700216668163, 8700216668156, 8700216668675, 8700216668767, 8700216668323, 8006540867808, 8006540867891, 8700216251235, 8700216668231, 8700216668798, 8700216668149, 8006540987230</t>
  </si>
  <si>
    <t>https://images.ctfassets.net/vvzbftwk9keg/6cBzbstT7yuxjDcafH0mbT/287dfdc63346812f1e63f19602215bd8/pdp_pampers_harmonie_taped_no_back.png</t>
  </si>
  <si>
    <t>https://www.pampers.de/produkte/pampers-harmonie-windeln</t>
  </si>
  <si>
    <t>Pampers® Harmonie™ Windeln</t>
  </si>
  <si>
    <t>PAMPERS_HARMONIE</t>
  </si>
  <si>
    <t>8006530288972, 8700216968829, 8006530381581, 8006530160537, 8006530143677, 8700216754170, 8700216812580, 8700216793230, 8700216812733, 8700216713436, 8700216754293, 8700216793421, 8006540785164, 8006530288958, 8006530140737, 8006540785133, 8700216812658, 8006530143394, 8700216291149, 8006530140522, 8700216812368, 8006530140683, 8700216793285, 8006530160605, 8006530160568, 8006530288965, 8700216713351, 8700216878029, 8006530143219, 8700216713337, 8700216812382, 8006530143264, 8700216146708, 8006530140416, 8700216968799, 8700216793469, 8700216812610, 8006530160599, 8006530140638, 8700216713160, 8006530143561, 8006530143868, 8006530144087, 8006530143691, 8700216793476, 8006530143998, 8700216754224, 8700216793353, 8700216713405, 8700216754149, 8700216812474, 8006530143738, 8006530143608, 8700216754156, 8006530143462, 8006530143943, 8006530160483, 8700216812726, 8700216713085, 8006530143554, 8006530381512, 8006530143301, 8700216754538, 8700216713238, 8006530143448, 8006530143813, 8700216812764, 8006530143523, 8700216812481, 8700216968812, 8006530143325, 8700216878005, 8700216775793, 8006530144056, 8006540861691, 8700216877985, 8006530160551, 8006530288927, 8700216793315, 8700216146715, 8006530143509, 8006530143653, 8700216775748, 8006530143639, 8006540785065, 8006530140782, 8700216877992, 8700216713139, 8006530381543, 8700216754323, 8700216793438, 8700216793377, 8006530140461, 8006540785188, 8006530160421, 8006530143400, 8006530143899, 8006530160629, 8700216713306, 8006530140515, 8006540785119, 8006530143240, 8006530289009, 8006530143721, 8006530144049, 8006540785089, 8700216754088, 8006530140720, 8700216793247, 8700216812405, 8006530143974, 8700216754361, 8006540785034, 8006530143349, 8006530160650, 8700216754125, 8006530143905, 8700216775755, 8006530381536, 8700216146654, 8006540785003, 8006530143967, 8700216812672, 8006530140805, 8700216754422</t>
  </si>
  <si>
    <t>https://images.ctfassets.net/vvzbftwk9keg/4eLa3r137a1khLxJ0utwiM/49c3ba2597f81e06013abcfa82bb26d4/pdp_pampers_bd_taped_no_back.png</t>
  </si>
  <si>
    <t>https://www.pampers.de/produkte/pampers-baby-dry-windeln</t>
  </si>
  <si>
    <t>PAMPERS_BABY_DRY</t>
  </si>
  <si>
    <t>8006530116596, 8006530116305, 8006530116152, 8700216722476, 8006540458563, 8006540510247, 8006530116206, 8006540811245, 8006540556139, 8006540811276, 8006530116558, 8006530116374, 8006540826669, 8006530116459, 8006540458525</t>
  </si>
  <si>
    <t>https://images.ctfassets.net/vvzbftwk9keg/6LQMGnoGn8C9CKFFpcADLS/2b21ff75bd78c15087f70ba9e1083dc2/pdp_pampers_aqua_no_back.png</t>
  </si>
  <si>
    <t>https://www.pampers.de/produkte/pampers-aqua-feuchttucher</t>
  </si>
  <si>
    <t>Pampers® Harmonie™ Aqua Feuchttücher</t>
  </si>
  <si>
    <t>PAMPERS_99WATER</t>
  </si>
  <si>
    <t>http://www.pampers.de/de_DE/images/pc/hb/lsp/products/prod_image_main_wipes_babywipes.png</t>
  </si>
  <si>
    <t>http://www.pampers.de/pampers-baby-fresh-wipes</t>
  </si>
  <si>
    <t>Die Pampers Baby Fresh Feuchttücher bieten ein extra sauberes Gefühl mit jedem Wisch. Die besondere Lotion enthält Aloe und einen erfrischenden Duft und hilft, die natürliche Balance der Haut wiederherzustellen. Die Pampers Baby Fresh Feuchttücher sind dermatologisch getestet, enthalten keine Seife und kein Alkohol und reinigen jedes Hautfältchen gründlich.</t>
  </si>
  <si>
    <t>Pampers Baby Fresh Feuchttücher</t>
  </si>
  <si>
    <t>17-DE</t>
  </si>
  <si>
    <t>Pampers DE</t>
  </si>
  <si>
    <t>8-DE</t>
  </si>
  <si>
    <t>http://www.pampers.de/de_DE/images/pc/hb/lsp/products/prod_image_main_wipes_sensitive.png</t>
  </si>
  <si>
    <t>http://www.pampers.de/sensitive-feuchttuecher</t>
  </si>
  <si>
    <t>Sanftere Reinigung mit weniger Wischen</t>
  </si>
  <si>
    <t>Pampers Sensitive Feuchttücher</t>
  </si>
  <si>
    <t>711155945-DE</t>
  </si>
  <si>
    <t>Instance: pampers-de_de</t>
  </si>
  <si>
    <t>Pampers-DE_DE R&amp;R Key Metrics</t>
  </si>
  <si>
    <t>037000303749</t>
  </si>
  <si>
    <t>https://images.ctfassets.net/6x11wdx755bh/2BbiOsoJZ4otuiu1GaVISr/a1038f4147d708f8aa26a26336d3f341/swaddlers_280x195.png</t>
  </si>
  <si>
    <t>https://www.pampers-es.com/es-us/panales-toallitas/panales-pampers-swaddlers-old</t>
  </si>
  <si>
    <t>261044222</t>
  </si>
  <si>
    <t>037000862208</t>
  </si>
  <si>
    <t>https://images.ctfassets.net/6x11wdx755bh/60f365ca095d6539277121dbca957c6afad565502d2f263eb4789936edb1abd0/a25a792ef6cfc502a47a50a150d78f5d/D_BABYDRY_560x390_RETINA.png</t>
  </si>
  <si>
    <t>https://www.pampers-es.com/es-us/panales-toallitas/panales-pampers-baby-dry-old</t>
  </si>
  <si>
    <t>261044261</t>
  </si>
  <si>
    <t>037000845706, 037000967552</t>
  </si>
  <si>
    <t>https://images.ctfassets.net/6x11wdx755bh/5c09eaf9bc4e9475c8bf89fc880e4ddb2a1d51ffcada27f29e319304a65743af/6c76163229b68c3f1523195193f6a351/D_SENSITIVE_WIPES_560x390_RETINA.png</t>
  </si>
  <si>
    <t>https://www.pampers-es.com/es-us/panales-toallitas/toallitas-pampers-sensitive-old</t>
  </si>
  <si>
    <t>261057381</t>
  </si>
  <si>
    <t>037000755364</t>
  </si>
  <si>
    <t>https://images.ctfassets.net/6x11wdx755bh/080ebab346c33b9fffc69e7be8aecb10d13399d3ad4b61031c90b876853a119b/5f0c004268494fd6348456d6873061d6/D_COMPLETE_CLEAN_BABY_FRESH_560x390_RETINA.png</t>
  </si>
  <si>
    <t>https://www.pampers-es.com/es-us/panales-toallitas/toallitas-pampers-complete-clean-baby-fresh-old</t>
  </si>
  <si>
    <t>Pampers® Complete Clean™ Baby Fresh Scent</t>
  </si>
  <si>
    <t>261057382</t>
  </si>
  <si>
    <t>037000949022</t>
  </si>
  <si>
    <t>https://res.cloudinary.com/pmprs/image/upload/c_scale,f_auto,q_60/v20160720231731/pampersc3/es-us/-/media/pampers/pampers-us/images/products/wmt_premium_open.png?v=2-201607202317</t>
  </si>
  <si>
    <t>https://www.pampers-es.com/es-us/producto-estrella/pampers-premium-care</t>
  </si>
  <si>
    <t>Pampers_Premium_Care</t>
  </si>
  <si>
    <t>037000764571, 037000765950</t>
  </si>
  <si>
    <t>https://images.ctfassets.net/6x11wdx755bh/97adac275ffd9bdda7d800768d66e0d9569a8f313c29f6c0dd3165bc9d8f64b6/669f89f3199aa517cdf7554c1a651be7/D_SPLASHERS_560x390_RETINA.png</t>
  </si>
  <si>
    <t>https://www.pampers-es.com/es-us/panales-toallitas/trajes-de-bano-pampers-splashers-para-ninos-y-ninas-old</t>
  </si>
  <si>
    <t>261044284</t>
  </si>
  <si>
    <t>037000691969, 037000764687</t>
  </si>
  <si>
    <t>https://images.ctfassets.net/6x11wdx755bh/2bFXPn0OubO8CHKsdLd6HE/787c065558da819b488e734965f997e9/easyups_280x195.png</t>
  </si>
  <si>
    <t>https://www.pampers-es.com/es-us/panales-toallitas/calzoncitos-de-entrenamiento-pampers-easy-ups-para-ninos-y-ninas-old</t>
  </si>
  <si>
    <t>EASYUPS_BOYS_GIRLS</t>
  </si>
  <si>
    <t>037000282525, 037000282532, 037000282655, 037000282723, 037000827887, 037000836742, 037000836766, 037000870968, 037000870982, 037000894001</t>
  </si>
  <si>
    <t>https://res.cloudinary.com/pmprs/image/upload/c_scale,f_auto,q_60/v20160720231714/pampersc3/es-us/-/media/pampers/pampers-us/images/products/natural-clean_630x330.png?v=2-201607202317</t>
  </si>
  <si>
    <t>https://www.pampers-es.com/es-us/producto-estrella/toallitas-pampers-natural-clean</t>
  </si>
  <si>
    <t>Toallitas Pampers Natural Clean</t>
  </si>
  <si>
    <t>261057383</t>
  </si>
  <si>
    <t>https://images.ctfassets.net/6x11wdx755bh/3d711eee47c5531a5898265eee5761f0070eb06c23982832d7124e65652f0f98/88c3c1f43df25c0ad0abca03414ac912/D_SENSITIVE_SWADDLERS_560x390_RETINA.png</t>
  </si>
  <si>
    <t>https://www.pampers-es.com/es-us/panales-toallitas/panales-pampers-swaddlers-sensitive</t>
  </si>
  <si>
    <t>261044225</t>
  </si>
  <si>
    <t>037000864820, 037000864837, 037000864844, 037000864851, 037000864868, 037000864875, 037000864905</t>
  </si>
  <si>
    <t>https://cdn.multibrand3.pgsitecore.com/es-US/-/media/Pampers/Pampers-US/Images/Products/Extra_Protection_Open.png?v=2-201607202317</t>
  </si>
  <si>
    <t>https://www.pampers-es.com/es-us/producto-estrella/pampers-baby-dry-extra-protection</t>
  </si>
  <si>
    <t>261044282</t>
  </si>
  <si>
    <t>037000174011, 037000929567, 037000929581, 037000929604, 037000929628</t>
  </si>
  <si>
    <t>https://res.cloudinary.com/pmprs/image/upload/c_scale,f_auto,q_60/v20160720231725/pampersc3/es-us/-/media/pampers/pampers-us/images/products/underjams_girls_open.png?v=2-201607202317</t>
  </si>
  <si>
    <t>https://www.pampers-es.com/es-us/producto-estrella/ropa-interior-nocturna-absorbente-pampers-underjams-para-ninas</t>
  </si>
  <si>
    <t>Ropa interior nocturna absorbente Pampers UnderJams para niñas</t>
  </si>
  <si>
    <t>261044165</t>
  </si>
  <si>
    <t>037000173915, 037000173977, 037000174004, 037000315346, 037000820147, 037000929574, 037000929598, 037000929611, 037000929635</t>
  </si>
  <si>
    <t>https://res.cloudinary.com/pmprs/image/upload/c_scale,f_auto,q_60/v20160720231725/pampersc3/es-us/-/media/pampers/pampers-us/images/products/underjams_boys_open.png?v=2-201607202317</t>
  </si>
  <si>
    <t>https://www.pampers-es.com/es-us/producto-estrella/ropa-interior-nocturna-absorbente-pampers-underjams-para-ninos</t>
  </si>
  <si>
    <t>Ropa interior nocturna absorbente Pampers UnderJams para niños</t>
  </si>
  <si>
    <t>261044163</t>
  </si>
  <si>
    <t>037000644552, 037000752523</t>
  </si>
  <si>
    <t>https://images.ctfassets.net/6x11wdx755bh/4a6ca0517b9a31f223d03d9b95e201929a2add7f23b1db746ae784d06a6485fb/d901b4d0f029db02319e9a3bfed1e1ed/D_CRUISERS_560x390_RETINA.png</t>
  </si>
  <si>
    <t>https://www.pampers-es.com/es-us/panales-toallitas/panales-pampers-cruisers-old</t>
  </si>
  <si>
    <t>261044229</t>
  </si>
  <si>
    <t>https://www.pampers.com/es_US/images/pc/hb/products/prod_img_wipes_pampers_thickcare_sensitive_NA.jpg</t>
  </si>
  <si>
    <t>http://es.pampers.com/pampers-sensitive-thickcare-wipes</t>
  </si>
  <si>
    <t>Las toallitas húmedas Pampers Sensitive ThickCare tienen loción PureCare para acondicionar la piel de tu bebé
Las toallitas húmedas Sensitive ThickCare han sido probadas por dermatólogos y son hipoalergénicas
Suavidad que ha sido probada clínicamente y libres de perfumes
Más gruesas* para limpiar el sucio de la piel (*vs. Pampers SoftCare™)
Tienen agua pura</t>
  </si>
  <si>
    <t>Toallitas húmedas Pampers® Sensitive ThickCare</t>
  </si>
  <si>
    <t>930826</t>
  </si>
  <si>
    <t>037000280521, 037000280668, 037000280811, 037000281023, 037000281153</t>
  </si>
  <si>
    <t>https://www.pampers.com/es_US/images/pc/hb/products/prod_img_diapers_swaddlers_sensitive_NA.jpg</t>
  </si>
  <si>
    <t>http://es.pampers.com/swaddlers-sensitive-diapers</t>
  </si>
  <si>
    <t>Suaves e hipoalergénicos
Tienen un toque de aloe
Ultra transpirabilidad
Indicador de humedad que cambia de color (tamaños NB, 1, 2)
Apertura para el cordón umbilical (tamaño NB solamente)</t>
  </si>
  <si>
    <t>Pañales Pampers® Swaddlers Sensitive</t>
  </si>
  <si>
    <t>10930802</t>
  </si>
  <si>
    <t>https://www.pampers.com/es_US/images/pc/hb/products/prod_img_pampers_cruisers_NA.jpg</t>
  </si>
  <si>
    <t>http://es.pampers.com/pampers-cruisers</t>
  </si>
  <si>
    <t>El ajuste  “3-Way Fit” brinda a los bebés nuestro mejor ajuste que les da la libertad de jugar a su manera
Los pañales Pampers Cruisers brindan hasta 12 horas de protección contra los derrames 
Ahora con la suavidad acolchada de Swaddlers
Los diseños nuevos de Sesame Street tienen tus personajes favoritos en cada pañal</t>
  </si>
  <si>
    <t>Pañales Pampers® Cruisers</t>
  </si>
  <si>
    <t>10930828</t>
  </si>
  <si>
    <t>https://www.pampers.com/es_US/images/pc/hb/products/prod_img_wipes_sensitive_NA.jpg</t>
  </si>
  <si>
    <t>http://es.pampers.com/pampers-sensitive-wipes</t>
  </si>
  <si>
    <t>Las toallitas húmedas Pampers Sensitive han sido probadas por dermatólogos
Hipoalergénicas y libres de perfumes
La toallita húmeda #1 de los hospitales (basado en los datos de venta)
Toallitas húmedas cuya suavidad ha sido probada clínicamente para la piel de tu bebé
Las toallitas húmedas Pampers Sensitive tienen loción PureCare, la cual acondiciona la piel de tu bebé</t>
  </si>
  <si>
    <t>Toallitas húmedas Pampers® Sensitive</t>
  </si>
  <si>
    <t>10930807</t>
  </si>
  <si>
    <t>037000265849, 037000265863, 037000265900</t>
  </si>
  <si>
    <t>http://es.pampers.com/es_US/images/pc/hb/lsp/products/prod_image_pants_easyupsboys.png</t>
  </si>
  <si>
    <t>http://es.pampers.com/potty-training-boys-easy-ups</t>
  </si>
  <si>
    <t>Menos derrames que los otros calzoncitos de aprendizaje líderes
Hasta 12 horas de protección, incluso de noche
Diseños de Thomas the Tank Engine)
Centro especialmente ubicado para absorber la orina de los varones
Indicador gráfico de humedad
Gane puntos Pampers Rewards® con cada compra de Pampers.</t>
  </si>
  <si>
    <t>Calzoncitos de entrenamiento Pampers® Easy Ups para niños</t>
  </si>
  <si>
    <t>261044145</t>
  </si>
  <si>
    <t>10930826</t>
  </si>
  <si>
    <t>https://www.pampers.com/es_US/images/pc/hb/products/prod_img_wipes_softcare_unscented_NA.jpg</t>
  </si>
  <si>
    <t>http://es.pampers.com/softcare-unscented-wipes</t>
  </si>
  <si>
    <t>Las toallitas húmedas Softcare sin fragancia tienen agua pura
Loción con aloe natural y Vitamina E
Las toallitas húmedas SoftCare tienen miles de celidtas limpiadoras suaves
Limpian suavemente como un pañito de bebé con agua
Hipoalergénicas</t>
  </si>
  <si>
    <t>Toallitas húmedas Pampers® SoftCare, sin fragancia</t>
  </si>
  <si>
    <t>10930815</t>
  </si>
  <si>
    <t>037000265832, 037000265856, 037000265870</t>
  </si>
  <si>
    <t>http://es.pampers.com/es_US/images/pc/hb/lsp/products/prod_image_pants_easyupsgirls.png</t>
  </si>
  <si>
    <t>http://es.pampers.com/potty-training-girls-easy-ups</t>
  </si>
  <si>
    <t>Menos derrames que los otros calzoncitos de aprendizaje líderes
Hasta 12 horas de protección, incluso de noche
Diseños de Dora the Explorer para las niñas
Centro especialmente ubicado para absorber la orina de las nenas
Indicador gráfico de humedad
Gane puntos Pampers Rewards® con cada compra de Pampers.</t>
  </si>
  <si>
    <t>Calzoncitos de entrenamiento Pampers® Easy Ups para niñas</t>
  </si>
  <si>
    <t>261044151</t>
  </si>
  <si>
    <t>http://es.pampers.com/es_US/images/pc/hb/lsp/products/prod_img_more_kandoo_soap_NA.jpg</t>
  </si>
  <si>
    <t>http://es.pampers.com/hand-soap-for-kids-kandoo</t>
  </si>
  <si>
    <t>Jabón de manos espumoso, jabón para el cuerpo y champú</t>
  </si>
  <si>
    <t>261044286</t>
  </si>
  <si>
    <t>037000041757, 037000048770, 037000159186</t>
  </si>
  <si>
    <t>http://es.pampers.com/es_US/images/pc/hb/lsp/products/prod_image_wipes_kandoo.png</t>
  </si>
  <si>
    <t>http://es.pampers.com/flushable-wipes-kandoo</t>
  </si>
  <si>
    <t>Limpia hasta 30% mejor que el papel de baño
Perfecto para manos pequeñas- aproximadamente del tamaño
				de dos láminas de papel de baño
Toallitas Smellin' Melon, Magic Melon, Funny Berry, Sensitive</t>
  </si>
  <si>
    <t>Toallitas húmedas desechables Kandoo</t>
  </si>
  <si>
    <t>261044173</t>
  </si>
  <si>
    <t>http://www.pampers.com/es_US/products/new_layout/images/Nprd_print_new.gif</t>
  </si>
  <si>
    <t>http://www.pampers.com/es_US/proddetail/id/930824</t>
  </si>
  <si>
    <t>Dos diseños divertidos en cada caja: diamantes y autos para los niños; flores y lunares para las niñas
La misma absorbencia y ajuste que ya conoces y te gusta de los pañales Pampers
Disponible en tamaño 1/2, 3 y 4 para que tu bebé esté a la moda en todas las etapas
Lados súper elásticos para un ajuste flexible
Fun diapers that make great baby shower gifts</t>
  </si>
  <si>
    <t>Pañales Pampers Prints Limited Edition para niños y niñas</t>
  </si>
  <si>
    <t>930824</t>
  </si>
  <si>
    <t>037000285199, 037000285229, 037000285502, 037000348955, 037000397984</t>
  </si>
  <si>
    <t>https://www.pampers.com/es_US/images/pc/hb/products/prod_img_diapers_swaddlers_NA.jpg</t>
  </si>
  <si>
    <t>http://es.pampers.com/new-baby-diapers-swaddlers</t>
  </si>
  <si>
    <t>Indicador de humedad que cambia de color (tamaños NB, 1, 2)
La elección #1 de los hospitales (basado en los datos de venta)
Suavidad acolchada parecida a una cobjita envuelve a los bebés en comodidad y seguridad
Lados elásticos suaves y cierres sobrepuestos brindan un ajuste flexible a los infantes
Apertura para el cordón umbilical  (tamaño NB solamente)</t>
  </si>
  <si>
    <t>Pañales Pampers® Swaddlers</t>
  </si>
  <si>
    <t>10930827</t>
  </si>
  <si>
    <t>https://www.pampers.com/es_US/images/pc/hb/products/prod_img_wipes_babyfresh_NA.jpg</t>
  </si>
  <si>
    <t>http://es.pampers.com/softcare-baby-fresh-wipes</t>
  </si>
  <si>
    <t>Las toallitas húmedas SoftCare limpian suavemente como un pañito de bebé con agua
Tienen agua pura y loción con vitamina E
Las toallitas Pampers SoftCare son hipoalergénicas
Con fragancia agradable a talco de bebé
Miles de celditas limpiadoras suaves para ayudar a dejar la piel del bebé sintiéndose perfectamente limpia</t>
  </si>
  <si>
    <t>Toallitas frescas para bebé SoftCare de Pampers</t>
  </si>
  <si>
    <t>10930814</t>
  </si>
  <si>
    <t>https://www.pampers.com/es_US/images/pc/hb/products/prod_img_diapers_cruiser_usa_NA.jpg</t>
  </si>
  <si>
    <t>http://es.pampers.com/pampers-cruisers-usa-prints</t>
  </si>
  <si>
    <t>Nuevos diseños de USA de edición limitada
Sus tres areas de ajuste le dan a tu bebé toda la libertad para jugar a su manera
Hasta 12 horas de protección contra derrames</t>
  </si>
  <si>
    <t>Pampers® Cruisers con diseños de USA</t>
  </si>
  <si>
    <t>261054781</t>
  </si>
  <si>
    <t>930814</t>
  </si>
  <si>
    <t>https://www.pampers.com/es_US/images/pc/hb/products/prod_img_wipes_pampers_thickcare_chamomile_NA.jpg</t>
  </si>
  <si>
    <t>http://es.pampers.com/thickcare-touch-of-chamomile-wipes</t>
  </si>
  <si>
    <t>Las toallitas húmedas Pampers ThickCare son hipoalergénicas
Las toallitas húmedas ThickCare son sobre 50% más resistentes que Huggies Natural Care*
Textura gruesa y acolchada
Limpia como un pañito con agua</t>
  </si>
  <si>
    <t>Toallitas con manzanilla ThickCare Touch de Pampers</t>
  </si>
  <si>
    <t>930832</t>
  </si>
  <si>
    <t>Instance: pampers-es</t>
  </si>
  <si>
    <t>Pampers-ES R&amp;R Key Metrics</t>
  </si>
  <si>
    <t>2140009</t>
  </si>
  <si>
    <t>2140002</t>
  </si>
  <si>
    <t>2140004</t>
  </si>
  <si>
    <t>2140005</t>
  </si>
  <si>
    <t>2140000""</t>
  </si>
  <si>
    <t>2140007</t>
  </si>
  <si>
    <t>http://images.buzzillions.com/images_products/00/57/15517913_100.jpg</t>
  </si>
  <si>
    <t>http://www.dodot.es/toallitas-dodot-activity</t>
  </si>
  <si>
    <t>Con las toallitas Dodot Activity limpiarás el culito de tu bebé, incluso con las caquitas más difíciles, de una forma fácil y sin tener que frotar su piel</t>
  </si>
  <si>
    <t>Dodot Activity</t>
  </si>
  <si>
    <t>1</t>
  </si>
  <si>
    <t>2140001</t>
  </si>
  <si>
    <t>2140003</t>
  </si>
  <si>
    <t>2140008</t>
  </si>
  <si>
    <t>8001090134226, 8001090134257, 8001090134288, 8001090311504</t>
  </si>
  <si>
    <t>https://images.ctfassets.net/bekpciakv9dp/ebe8574899887ad8f9b2ead96e75239c38c1285e340b8f9fb1f302cf3f447c12/a95776187fa39eb77883d1f88f99ac64/M_TOALLITAS_324X286_RETINA.png</t>
  </si>
  <si>
    <t>https://www.dodot.es/panales-toallitas/toallitas-dodot</t>
  </si>
  <si>
    <t>TOALLITAS Dodot®</t>
  </si>
  <si>
    <t>2190000</t>
  </si>
  <si>
    <t>8001090746528, 8001090746580, 8001090796011, 8001090796073, 8001090796134, 8001841677156, 8001841677194, 8001841677231, 8001841677279, 8001841748009, 8001841748023, 8001841748047, 8006540533819, 8006540533857, 8006540829219</t>
  </si>
  <si>
    <t>https://images.ctfassets.net/bekpciakv9dp/3ALs0WIUXI1nUhWhtziO8T/7f337ebf5531bfe58e77bd626022d32c/Dodot.com_Pants-ML_Producto_320x286px.png</t>
  </si>
  <si>
    <t>https://www.dodot.es/panales-toallitas/dodot-pants</t>
  </si>
  <si>
    <t>PAÑALES-BRAGUITA Dodot® Pants</t>
  </si>
  <si>
    <t>2130000</t>
  </si>
  <si>
    <t>4015400846420, 4015400846451, 4015400846482, 4015400846512, 4015400846543, 4015400846574, 4015400846604, 4015400846635, 4015400846666, 4015400846697, 4015400884828, 4015400884859, 4015400884897, 4015400930853, 4015400930877, 4015400930891, 4015600949150, 8001090086082, 8001090086105, 8001090549341, 8001090604163, 8001090604187, 8001090604200, 8001090604842, 8001841630885, 8001841631189, 8006540286999</t>
  </si>
  <si>
    <t>https://images.ctfassets.net/bekpciakv9dp/1PTIihNScqRfxdO6KXA38R/b6b6005902c9172a86031377bb4a81f8/Dodot.com_Activity_Producto_280x195px.png</t>
  </si>
  <si>
    <t>https://www.dodot.es/panales-toallitas/panales-dodot-activity</t>
  </si>
  <si>
    <t>PAÑALES Dodot® Activity</t>
  </si>
  <si>
    <t>2150000</t>
  </si>
  <si>
    <t>8006540374658, 8006540374726, 8006540374757, 8006540374788, 8006540374825, 8006540512647, 8006540512661, 8006540512685, 8006540512708, 8006540512722</t>
  </si>
  <si>
    <t>https://images.ctfassets.net/bekpciakv9dp/4zelocJug67mcpVfLRB4C6/9ff3e947bd5638a7a346e5aa86957632/Dodot_CuidadoTotal_Web_IMG_Pack_324x286.png</t>
  </si>
  <si>
    <t>https://www.dodot.es/panales-toallitas/panales-dodot-cuidado-total</t>
  </si>
  <si>
    <t>PAÑALES Dodot® Cuidado Total</t>
  </si>
  <si>
    <t>PANALES_DODOT_CUIDADO_TOTAL</t>
  </si>
  <si>
    <t>8001841013800</t>
  </si>
  <si>
    <t>https://images.ctfassets.net/bekpciakv9dp/3yGu63WjDSPTDOuQr6eVgo/56478120d025809d4cfc2b79ba95ae5b/M_PA_ALES_PRO-SENSITIVE__324X286_RETINA.png</t>
  </si>
  <si>
    <t>https://www.dodot.es/panales-toallitas/pro-sensitive-plus</t>
  </si>
  <si>
    <t>PAÑALES Dodot® Pro-Sensitive+</t>
  </si>
  <si>
    <t>DODOT_PRO_SENSITIVE_PLUS</t>
  </si>
  <si>
    <t>4015400846727, 4015400846758, 4015400846789, 4015400846895, 4015600949440, 8001090137005, 8001090160911, 8001090604156, 8001841009797, 8001841041544, 8001841041575, 8001841047362, 8001841275987, 8001841987255, 8001841987279, 8006540848340</t>
  </si>
  <si>
    <t>https://images.ctfassets.net/bekpciakv9dp/2cZw9eNeiO8mDE30Urgv9m/0bfffcdd96906e33fce4ebdfcf884725/Dodot.com_Sensitive_Producto_280x195px.png</t>
  </si>
  <si>
    <t>https://www.dodot.es/panales-toallitas/panales-dodot-sensitive</t>
  </si>
  <si>
    <t>PAÑALES Dodot® Sensitive</t>
  </si>
  <si>
    <t>2180000</t>
  </si>
  <si>
    <t>8001090139504</t>
  </si>
  <si>
    <t>https://images.ctfassets.net/bekpciakv9dp/11FtWMYgMSzCjpRxXlA9Oe/708f69c45b61b359bc5ffc589b929340/M_TOALLITAS_B_SICO_324X286_RETINA.png</t>
  </si>
  <si>
    <t>https://www.dodot.es/panales-toallitas/toallitas-dodot-basico</t>
  </si>
  <si>
    <t>TOALLITAS Dodot® Básico</t>
  </si>
  <si>
    <t>2170000</t>
  </si>
  <si>
    <t>8001090993953, 8001090994011, 8001090994042</t>
  </si>
  <si>
    <t>https://images.ctfassets.net/bekpciakv9dp/23mNwXHI0JTlG6qLWmEvYm/1ce12e547eb51fa68f365b96a3b05364/Dodot.com_Pants-Activity_Producto_320x286px.png</t>
  </si>
  <si>
    <t>https://www.dodot.es/panales-toallitas/dodot-activity-pants</t>
  </si>
  <si>
    <t>PAÑALES-BRAGUITA Dodot® Activity Pants™</t>
  </si>
  <si>
    <t>DODOT_ACTIVITY_PANTS</t>
  </si>
  <si>
    <t>8006540222287</t>
  </si>
  <si>
    <t>https://images.ctfassets.net/bekpciakv9dp/7olbP2LWxIM6QBzGZIXwLz/21684b1fecf42fe27aa5ac39aae2f038/pack_320x286.png</t>
  </si>
  <si>
    <t>https://www.dodot.es/panales-toallitas/toallitas-dodot-manos-limpias-go</t>
  </si>
  <si>
    <t>Toallitas Dodot® Manos Limpias &amp; GO</t>
  </si>
  <si>
    <t>TOALLITAS_MANOS_LIMPIAS</t>
  </si>
  <si>
    <t>8006540260326, 8006540260340, 8006540260357, 8006540260371</t>
  </si>
  <si>
    <t>https://images.ctfassets.net/bekpciakv9dp/2h3sJq3uolU2w0qGByPqEy/b971055a6bad3806a434fac66ca58bd2/Packshot.png</t>
  </si>
  <si>
    <t>https://www.dodot.es/panales-toallitas/ropa-interior-absorbente-de-dodot</t>
  </si>
  <si>
    <t>Ropa Interior Absorbente de Dodot®</t>
  </si>
  <si>
    <t>Ropa_Interior_Absorbente</t>
  </si>
  <si>
    <t>8006540618356</t>
  </si>
  <si>
    <t>https://images.ctfassets.net/bekpciakv9dp/5T9nNLBjWTQScfOk3mVFXs/0a50ddb67c669836814b3902f1e93881/324x286_Dodot_Coco_Toallitas_Product_Tour.png</t>
  </si>
  <si>
    <t>https://www.dodot.es/panales-toallitas/toallitas-dodot-cuidado-total-coco</t>
  </si>
  <si>
    <t>TOALLITAS Dodot® Cuidado Total Coco</t>
  </si>
  <si>
    <t>TOALLITAS_Dodot_Cuidado_Total_Coco</t>
  </si>
  <si>
    <t>4015400870562, 4015400870715, 4015400870777, 4015400870821, 4015400870869, 4015600951511, 4015600952266, 8001090188465, 8001090189325, 8001090280664, 8001090445223, 8001090514868, 8001090620347, 8006540618547, 8006540618608, 8006540618660</t>
  </si>
  <si>
    <t>https://images.ctfassets.net/bekpciakv9dp/61JAqi6LBltVSwTAThi1gx/04d02f6bad424c9b416fcfc0cdb2e462/Dodot.com_Bebe-Seco_Producto_280x195px.png</t>
  </si>
  <si>
    <t>https://www.dodot.es/panales-toallitas/panales-dodot</t>
  </si>
  <si>
    <t>PAÑALES Dodot® Bebé-Seco</t>
  </si>
  <si>
    <t>2160000</t>
  </si>
  <si>
    <t>8001841115498, 8001841115528, 8001841115542</t>
  </si>
  <si>
    <t>https://images.ctfassets.net/bekpciakv9dp/ac0d0c4ce65ffdecf12ae103c4c459c0922aeae747a208a94336cad98da9bf9d/ed06896bfdae20a123b8c3702e7eb16e/M_TOALLITAS_AQUA_PURE_324X286_RETINA.png</t>
  </si>
  <si>
    <t>https://www.dodot.es/panales-toallitas/toallitas-dodot-pure</t>
  </si>
  <si>
    <t>TOALLITAS Aqua Pure de Dodot®</t>
  </si>
  <si>
    <t>AQUA_PURE</t>
  </si>
  <si>
    <t>4015400739388, 8001090787774, 8410108100618, 8410108100694, 8410108100724, 8410108100816</t>
  </si>
  <si>
    <t>https://images.ctfassets.net/bekpciakv9dp/2dvPAlTzX8C8pgD6MdKZV4/8f51a41a5f11ddb12a4d697f9cc6701c/M_TOALLITAS_ACTIVITY_324X286_RETINA.png</t>
  </si>
  <si>
    <t>https://www.dodot.es/panales-toallitas/toallitas-dodot-activity</t>
  </si>
  <si>
    <t>TOALLITAS Dodot® Activity</t>
  </si>
  <si>
    <t>2140000</t>
  </si>
  <si>
    <t>8410108122429, 8410108122498, 8410108122535, 8410108122573, 8410108122610, 8410108123402</t>
  </si>
  <si>
    <t>https://images.ctfassets.net/bekpciakv9dp/1z73D4MzXu9Bzjo0D9zBs0/6b4701535dbc9e3fb7e0f8ee5100da72/M_TOALLITAS_SENSITIVE_324X286_RETINA.png</t>
  </si>
  <si>
    <t>https://www.dodot.es/panales-toallitas/toallitas-dodot-sensitive</t>
  </si>
  <si>
    <t>TOALLITAS Dodot® Sensitive</t>
  </si>
  <si>
    <t>2120000</t>
  </si>
  <si>
    <t>8410108101974, 8410108102018</t>
  </si>
  <si>
    <t>http://cdn.multibrand.pgsitecore.com/es-ES/-/media/Pampers/Dodot-ES/Images/Products/Product-plus/Dodot-Happyjama-Ninos/Diaper_Packshot_Master_HA_Boy_630.jpg?h=330&amp;w=630&amp;v=1-201609211224&amp;hash=A259A59D6E60758AE152F0158B5DBFD18AE5A91A&amp;crop=1&amp;sc=0</t>
  </si>
  <si>
    <t>https://www.dodot.es/mas-producto/dodot-happyjama-ninos</t>
  </si>
  <si>
    <t>Dodot Happyjama Niños</t>
  </si>
  <si>
    <t>2110000</t>
  </si>
  <si>
    <t>Dodot</t>
  </si>
  <si>
    <t>DODOT</t>
  </si>
  <si>
    <t>8001090698452, 8001090729132</t>
  </si>
  <si>
    <t>https://images.ctfassets.net/2ql69mthp94m/3UJqx93lWCQDXxDm128dcB/97223cac5b87a958ad00bdc9c2d2f9b5/00030772204870_C1L1__2_.png?fm=avif&amp;w=1920&amp;q=75</t>
  </si>
  <si>
    <t>https://www.dodot.es/panales-toallitas/dodot-splashers</t>
  </si>
  <si>
    <t>Bañadores desechables Dodot® Splashers para bebés activos en el agua. Sin cierres laterales. Tallas 4 y 5.</t>
  </si>
  <si>
    <t>Dodot® Splashers</t>
  </si>
  <si>
    <t>DODOT_SPLASHERS</t>
  </si>
  <si>
    <t>7108172404633, 8410108104661</t>
  </si>
  <si>
    <t>http://cdn.multibrand.pgsitecore.com/es-ES/-/media/Pampers/Dodot-ES/Images/Products/Product-plus/Toallitas-Dodot-Basico/Wipes_Packshot_Master_BA_AR3_630.jpg?h=330&amp;w=630&amp;v=1-201609220633&amp;hash=4979CA0DE608D88CF5A23FCBA466D320F0D7EB9B&amp;crop=1&amp;sc=0</t>
  </si>
  <si>
    <t>https://www.dodot.es/mas-producto/toallitas-dodot-basico</t>
  </si>
  <si>
    <t>Toallitas Dodot Básico</t>
  </si>
  <si>
    <t>2200000</t>
  </si>
  <si>
    <t>8410108102056, 8410108102094</t>
  </si>
  <si>
    <t>http://cdn.multibrand.pgsitecore.com/es-ES/-/media/Pampers/Dodot-ES/Images/Products/Product-plus/Dodot-Happyjama-Ninas/Diaper_Packshot_Master_HA_Girl_630.jpg?h=330&amp;w=630&amp;v=1-201609211224&amp;hash=177E9922249E03C1FE9F2523665FA14D6538FB79&amp;crop=1&amp;sc=0</t>
  </si>
  <si>
    <t>https://www.dodot.es/mas-producto/dodot-happyjama-ninas</t>
  </si>
  <si>
    <t>Dodot Happyjama Niñas</t>
  </si>
  <si>
    <t>2100000</t>
  </si>
  <si>
    <t>Instance: pgdodotspain</t>
  </si>
  <si>
    <t>pgdodotspain R&amp;R Key Metrics</t>
  </si>
  <si>
    <t>Bazaarvoice Product Catalog Audit Report</t>
  </si>
  <si>
    <t>All regional instances | All-time catalog snapshot | Run date in source: 2026-08-12 UTC</t>
  </si>
  <si>
    <t>TOP PRIORITY ALERT</t>
  </si>
  <si>
    <t>Most Critical Issue</t>
  </si>
  <si>
    <t>Reviews are currently hidden because they are associated with inactive products.</t>
  </si>
  <si>
    <t>Total Impact</t>
  </si>
  <si>
    <t>Number of Affected Products</t>
  </si>
  <si>
    <t>Number of Reviews Hidden/Tagged to Inactive Products</t>
  </si>
  <si>
    <t>% Reviews Hidden/Tagged to Inactive Products</t>
  </si>
  <si>
    <t>Required Action Summary</t>
  </si>
  <si>
    <t>Prioritize reviewed inactive products.</t>
  </si>
  <si>
    <t>Recommended Fix</t>
  </si>
  <si>
    <t>Map IDs to live PDPs; then activate.</t>
  </si>
  <si>
    <t>Suggestion Impact Level</t>
  </si>
  <si>
    <t>CRUCIAL</t>
  </si>
  <si>
    <t>SECTION 1: CRITICAL FIELD DEFINITIONS FOR AUDIT</t>
  </si>
  <si>
    <t>Critical Field</t>
  </si>
  <si>
    <t>Column Reference</t>
  </si>
  <si>
    <t>Why Critical</t>
  </si>
  <si>
    <t>Business Impact if Missing</t>
  </si>
  <si>
    <t>Recommended Action</t>
  </si>
  <si>
    <t>Documentation Reference</t>
  </si>
  <si>
    <t>C</t>
  </si>
  <si>
    <t>Primary catalog matching key.</t>
  </si>
  <si>
    <t>Matching and governance fail.</t>
  </si>
  <si>
    <t>Use one stable canonical ID.</t>
  </si>
  <si>
    <t>UPC/EAN</t>
  </si>
  <si>
    <t>I / J</t>
  </si>
  <si>
    <t>Regional syndication identifier.</t>
  </si>
  <si>
    <t>Syndication can be blocked.</t>
  </si>
  <si>
    <t>Populate UPC in NA; EAN elsewhere.</t>
  </si>
  <si>
    <t>E</t>
  </si>
  <si>
    <t>Customer-facing product identity.</t>
  </si>
  <si>
    <t>PDP clarity is reduced.</t>
  </si>
  <si>
    <t>Supply the approved local name.</t>
  </si>
  <si>
    <t>Product Description</t>
  </si>
  <si>
    <t>F</t>
  </si>
  <si>
    <t>Core product content.</t>
  </si>
  <si>
    <t>PDP completeness is reduced.</t>
  </si>
  <si>
    <t>Supply approved local copy.</t>
  </si>
  <si>
    <t>Product Page URL / PDP URL</t>
  </si>
  <si>
    <t>G</t>
  </si>
  <si>
    <t>Links reviews to the live PDP.</t>
  </si>
  <si>
    <t>Reviews may not render on PDP.</t>
  </si>
  <si>
    <t>Use the canonical live PDP URL.</t>
  </si>
  <si>
    <t>H</t>
  </si>
  <si>
    <t>Provides product imagery.</t>
  </si>
  <si>
    <t>Catalog presentation is weakened.</t>
  </si>
  <si>
    <t>Use a reachable canonical image.</t>
  </si>
  <si>
    <t>B</t>
  </si>
  <si>
    <t>Supports attribution and reporting.</t>
  </si>
  <si>
    <t>Brand reporting can fragment.</t>
  </si>
  <si>
    <t>Use approved brand taxonomy.</t>
  </si>
  <si>
    <t>D</t>
  </si>
  <si>
    <t>Controls product visibility.</t>
  </si>
  <si>
    <t>Inactive items hide reviews.</t>
  </si>
  <si>
    <t>Validate Active/Inactive status.</t>
  </si>
  <si>
    <t>SECTION 2: VOLUME-BASED SUMMARY BY INSTANCE</t>
  </si>
  <si>
    <t>Instance / Region</t>
  </si>
  <si>
    <t>Total Products</t>
  </si>
  <si>
    <t>Active Products</t>
  </si>
  <si>
    <t>Inactive Products</t>
  </si>
  <si>
    <t>% Inactive</t>
  </si>
  <si>
    <t>Total Reviews</t>
  </si>
  <si>
    <t>Reviews Hidden/Tagged to Inactive Product</t>
  </si>
  <si>
    <t>% Reviews Hidden/Tagged to Inactive Product</t>
  </si>
  <si>
    <t>Missing UPC/EAN</t>
  </si>
  <si>
    <t>Missing Description</t>
  </si>
  <si>
    <t>Missing Image URL</t>
  </si>
  <si>
    <t>Business Impact</t>
  </si>
  <si>
    <t>Suggestion Impact</t>
  </si>
  <si>
    <t>United States (EN)</t>
  </si>
  <si>
    <t>United States (ES)</t>
  </si>
  <si>
    <t>United Kingdom</t>
  </si>
  <si>
    <t>Germany</t>
  </si>
  <si>
    <t>France</t>
  </si>
  <si>
    <t>Spain</t>
  </si>
  <si>
    <t>Japan</t>
  </si>
  <si>
    <t>TOTAL</t>
  </si>
  <si>
    <t>Immediate attention: prioritize instances with the largest hidden-review volume; North American instances are listed first. No Canada instance is present in this workbook.</t>
  </si>
  <si>
    <t>SECTION 3: ISSUES WITH BUSINESS IMPACT, RECOMMENDATIONS &amp; HOW TO FIX</t>
  </si>
  <si>
    <t>#</t>
  </si>
  <si>
    <t>Issue Category</t>
  </si>
  <si>
    <t>Volume Impacted</t>
  </si>
  <si>
    <t>How to Fix</t>
  </si>
  <si>
    <t>Inactive Products → Reviews Hidden/Tagged to Inactive Product</t>
  </si>
  <si>
    <t>77 products / 34000 reviews</t>
  </si>
  <si>
    <t>Hidden reviews reduce social proof.</t>
  </si>
  <si>
    <t>Reactivate or migrate reviewed products.</t>
  </si>
  <si>
    <t>Product ID Issues</t>
  </si>
  <si>
    <t>Numeric 60; alphanumeric 62; blank 0</t>
  </si>
  <si>
    <t>Mixed IDs hinder catalog matching.</t>
  </si>
  <si>
    <t>Adopt one canonical ID standard.</t>
  </si>
  <si>
    <t>Map legacy IDs; publish canonical IDs.</t>
  </si>
  <si>
    <t>HIGH</t>
  </si>
  <si>
    <t>UPC Data Missing Issues</t>
  </si>
  <si>
    <t>36 products</t>
  </si>
  <si>
    <t>Missing codes can block syndication.</t>
  </si>
  <si>
    <t>Populate approved UPC values.</t>
  </si>
  <si>
    <t>Validate source codes; update column I.</t>
  </si>
  <si>
    <t>Missing Crucial Fields</t>
  </si>
  <si>
    <t>Name/PDP/Description/Image/Brand</t>
  </si>
  <si>
    <t>53 products</t>
  </si>
  <si>
    <t>Missing content weakens PDP quality.</t>
  </si>
  <si>
    <t>Complete required catalog fields.</t>
  </si>
  <si>
    <t>Backfill from approved product masters.</t>
  </si>
  <si>
    <t>MEDIUM</t>
  </si>
  <si>
    <t>Brand Name Issues</t>
  </si>
  <si>
    <t>3 variations</t>
  </si>
  <si>
    <t>Brand variants fragment reporting.</t>
  </si>
  <si>
    <t>Use one approved brand label.</t>
  </si>
  <si>
    <t>Normalize case, spacing, and aliases.</t>
  </si>
  <si>
    <t>31 products / 1884 reviews</t>
  </si>
  <si>
    <t>Numeric 27; alphanumeric 4; blank 0</t>
  </si>
  <si>
    <t>3 products</t>
  </si>
  <si>
    <t>17 products / 1580 reviews</t>
  </si>
  <si>
    <t>Numeric 1; alphanumeric 37; blank 0</t>
  </si>
  <si>
    <t>EAN Data Missing Issues</t>
  </si>
  <si>
    <t>7 products</t>
  </si>
  <si>
    <t>Populate approved EAN values.</t>
  </si>
  <si>
    <t>Validate source codes; update column J.</t>
  </si>
  <si>
    <t>2 variations</t>
  </si>
  <si>
    <t>25 products / 9214 reviews</t>
  </si>
  <si>
    <t>Numeric 0; alphanumeric 36; blank 0</t>
  </si>
  <si>
    <t>9 products</t>
  </si>
  <si>
    <t>11 products</t>
  </si>
  <si>
    <t>30 products / 6541 reviews</t>
  </si>
  <si>
    <t>Numeric 35; alphanumeric 44; blank 0</t>
  </si>
  <si>
    <t>10 products</t>
  </si>
  <si>
    <t>19 products / 5977 reviews</t>
  </si>
  <si>
    <t>Numeric 20; alphanumeric 9; blank 0</t>
  </si>
  <si>
    <t>30 products / 3105 reviews</t>
  </si>
  <si>
    <t>Numeric 13; alphanumeric 20; blank 0</t>
  </si>
  <si>
    <t>SECTION 4: INACTIVE PRODUCTS WITH REVIEWS – MIGRATION CANDIDATES</t>
  </si>
  <si>
    <t>Total Reviews Hidden/Tagged to Inactive Product</t>
  </si>
  <si>
    <t>Reviews on Product</t>
  </si>
  <si>
    <t>Suggested Migration Target / Action</t>
  </si>
  <si>
    <t>Find active successor; otherwise activate.</t>
  </si>
  <si>
    <t>Map IDs to a live PDP; migrate or activate.</t>
  </si>
  <si>
    <t>Migrate reviews to active Product ID PAMPERS_BABY_DRY.</t>
  </si>
  <si>
    <t>Migrate reviews to active Product ID Babydry-FR.</t>
  </si>
  <si>
    <t>Migrate reviews to active Product ID pampers_pure_protection_diapers.</t>
  </si>
  <si>
    <t>Migrate reviews to active Product ID Pampers_Swaddlers.</t>
  </si>
  <si>
    <t>Migrate reviews to active Product ID Sensitive-0-Plastic.</t>
  </si>
  <si>
    <t>Migrate reviews to active Product ID PAMPERS_SENSITIVE.</t>
  </si>
  <si>
    <t>SECTION 5: PRODUCT ID STANDARDIZATION ISSUES</t>
  </si>
  <si>
    <t>Issue Type</t>
  </si>
  <si>
    <t>Examples</t>
  </si>
  <si>
    <t>Products Affected</t>
  </si>
  <si>
    <t>Recommendation</t>
  </si>
  <si>
    <t>Numeric-only Product IDs</t>
  </si>
  <si>
    <t>037000275046, 10900806, 900815</t>
  </si>
  <si>
    <t>Mixed formats hinder matching.</t>
  </si>
  <si>
    <t>Adopt one canonical ID pattern.</t>
  </si>
  <si>
    <t>Map numeric IDs to canonical IDs.</t>
  </si>
  <si>
    <t>Alphanumeric/mixed Product IDs</t>
  </si>
  <si>
    <t>Pampers_Clean_&amp;_Calm, Pampers_SSC_SmartSleepCoachSubscription, E00000001</t>
  </si>
  <si>
    <t>Normalize separators and casing.</t>
  </si>
  <si>
    <t>930832, 930814, 261054781</t>
  </si>
  <si>
    <t>EASYUPS_BOYS_GIRLS, Pampers_Premium_Care, Pampers_BabyDry</t>
  </si>
  <si>
    <t>171156441-GB, 171156443-GB, PAMPERS_HARMONIE_PANTS</t>
  </si>
  <si>
    <t>711155945-DE, 17-DE, PAMPERS_99WATER</t>
  </si>
  <si>
    <t>8006540704615, 8700216263764, 8006540715802</t>
  </si>
  <si>
    <t>181156484-FR, 181156482-FR, 181148361-FR</t>
  </si>
  <si>
    <t>2100000, 2200000, 2110000</t>
  </si>
  <si>
    <t>DODOT_SPLASHERS, AQUA_PURE, TOALLITAS_Dodot_Cuidado_Total_Coco</t>
  </si>
  <si>
    <t>4902430148641, 4902430215992, 4902430148825</t>
  </si>
  <si>
    <t>8-JP, 6-JP, 11-JP</t>
  </si>
  <si>
    <t>SECTION 6: UPC/EAN DATA QUALITY ANALYSIS</t>
  </si>
  <si>
    <t>Missing UPC</t>
  </si>
  <si>
    <t>Pampers_SSC_SmartSleepCoachSubscription, 761043742, 761042421</t>
  </si>
  <si>
    <t>Validate source; update column I.</t>
  </si>
  <si>
    <t>261044225, Pampers_BabyDry, Pampers_ Pure_Protection_Diapers</t>
  </si>
  <si>
    <t>Missing EAN</t>
  </si>
  <si>
    <t>PAMPERS_COCONUT_PURE_WIPES, 171074149-GB, 2-UK</t>
  </si>
  <si>
    <t>Validate source; update column J.</t>
  </si>
  <si>
    <t>711155945-DE, 17-DE, 7-DE</t>
  </si>
  <si>
    <t>181156484-FR, 181148361-FR, 8-FR</t>
  </si>
  <si>
    <t>2140008, 2140003, 2140001</t>
  </si>
  <si>
    <t>Assessment rule: multiple UPC/EAN values are compliant and are not used as an audit criterion.</t>
  </si>
  <si>
    <t>SECTION 7: MISSING CRUCIAL FIELDS</t>
  </si>
  <si>
    <t>Missing Image URLs</t>
  </si>
  <si>
    <t>Missing Product Names</t>
  </si>
  <si>
    <t>Missing PDP URLs</t>
  </si>
  <si>
    <t>Missing Descriptions</t>
  </si>
  <si>
    <t>Missing Brand</t>
  </si>
  <si>
    <t>Total Missing Fields</t>
  </si>
  <si>
    <t>SECTION 8: BRAND CONSISTENCY CHECK</t>
  </si>
  <si>
    <t>Brand Variations Found</t>
  </si>
  <si>
    <t>Count</t>
  </si>
  <si>
    <t>Issue</t>
  </si>
  <si>
    <t>Pampers (82), LUMI (3), Pampers Cruisers 360 (1)</t>
  </si>
  <si>
    <t>Capitalization or regional naming differs.</t>
  </si>
  <si>
    <t>Use one approved regional label.</t>
  </si>
  <si>
    <t>Normalize case, spaces, and aliases.</t>
  </si>
  <si>
    <t>Pampers (29)</t>
  </si>
  <si>
    <t>No within-instance variation found.</t>
  </si>
  <si>
    <t>No variation impact found.</t>
  </si>
  <si>
    <t>Maintain current naming.</t>
  </si>
  <si>
    <t>No remediation required.</t>
  </si>
  <si>
    <t>LOW</t>
  </si>
  <si>
    <t>Pampers (29), PAMPERS (4)</t>
  </si>
  <si>
    <t>Pampers DE (2), Pampers (28)</t>
  </si>
  <si>
    <t>Pampers FR (7), Pampers (66), PAMPERS (2)</t>
  </si>
  <si>
    <t>Dodot (4), Pampers (15)</t>
  </si>
  <si>
    <t>Pampers JP (12), Pampers (19)</t>
  </si>
  <si>
    <t>SECTION 9: PRIORITY ACTION ITEMS BY INSTANCE</t>
  </si>
  <si>
    <t>Priority Rank</t>
  </si>
  <si>
    <t>Impact Level</t>
  </si>
  <si>
    <t>Action Required</t>
  </si>
  <si>
    <t>Expected Benefit</t>
  </si>
  <si>
    <t>Resolve inactive products with reviews</t>
  </si>
  <si>
    <t>Migrate reviews or activate products.</t>
  </si>
  <si>
    <t>Restores visible review content.</t>
  </si>
  <si>
    <t>Standardize Product IDs</t>
  </si>
  <si>
    <t>Adopt a canonical Product ID pattern.</t>
  </si>
  <si>
    <t>Map legacy IDs; normalize future feeds.</t>
  </si>
  <si>
    <t>Improves matching and governance.</t>
  </si>
  <si>
    <t>Complete missing UPC values</t>
  </si>
  <si>
    <t>Improves syndication readiness.</t>
  </si>
  <si>
    <t>Complete missing crucial fields</t>
  </si>
  <si>
    <t>Backfill required catalog content.</t>
  </si>
  <si>
    <t>Use approved product master content.</t>
  </si>
  <si>
    <t>Improves PDP completeness.</t>
  </si>
  <si>
    <t>Normalize brand names</t>
  </si>
  <si>
    <t>Unifies reporting and attribution.</t>
  </si>
  <si>
    <t>Complete missing EAN values</t>
  </si>
  <si>
    <t>https://pgone.sharepoint.com/:p:/s/GlobalProductServices/IQAhg8ackh-HQ77DjbpXzz43ASkqCZKDUUbpZ9z4fYTL8-M?e=ELbrVw</t>
  </si>
  <si>
    <t>Documentation: https://pgone.sharepoint.com/:p:/s/GlobalProductServices/IQAhg8ackh-HQ77DjbpXzz43ASkqCZKDUUbpZ9z4fYTL8-M?e=ELbrVw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</si>
</sst>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sz val="18"/>
      <color rgb="FFFFFFFF"/>
      <name val="Arial"/>
      <family val="2"/>
    </font>
    <font>
      <sz val="12"/>
      <color rgb="FFFFFFFF"/>
      <name val="Arial"/>
      <family val="2"/>
    </font>
    <font>
      <sz val="10"/>
      <color theme="1"/>
      <name val="Arial"/>
      <family val="2"/>
    </font>
    <font>
      <b/>
      <sz val="10"/>
      <color rgb="FFFFFFFF"/>
      <name val="Arial"/>
      <family val="2"/>
    </font>
    <font>
      <sz val="9"/>
      <color theme="1"/>
      <name val="Aptos"/>
    </font>
    <font>
      <b/>
      <sz val="9"/>
      <color rgb="FFFFFFFF"/>
      <name val="Aptos"/>
    </font>
    <font>
      <b/>
      <sz val="18"/>
      <color rgb="FFFFFFFF"/>
      <name val="Aptos"/>
    </font>
    <font>
      <i/>
      <sz val="9"/>
      <color rgb="FF555555"/>
      <name val="Aptos"/>
    </font>
    <font>
      <i/>
      <sz val="10"/>
      <color rgb="FF555555"/>
      <name val="Aptos"/>
    </font>
    <font>
      <b/>
      <sz val="12"/>
      <color rgb="FF1F4E79"/>
      <name val="Aptos"/>
    </font>
    <font>
      <i/>
      <sz val="7"/>
      <color rgb="FF555555"/>
      <name val="Aptos"/>
    </font>
    <font>
      <b/>
      <sz val="9"/>
      <color theme="1"/>
      <name val="Aptos"/>
    </font>
    <font>
      <u/>
      <sz val="9"/>
      <color rgb="FF0563C1"/>
      <name val="Aptos"/>
      <family val="2"/>
    </font>
    <font>
      <i/>
      <u/>
      <sz val="7"/>
      <color rgb="FF0563C1"/>
      <name val="Aptos"/>
      <family val="2"/>
    </font>
    <font>
      <u/>
      <sz val="11"/>
      <color theme="10"/>
      <name val="Calibri"/>
      <family val="2"/>
      <scheme val="minor"/>
    </font>
  </fonts>
  <fills count="12">
    <fill>
      <patternFill patternType="none"/>
    </fill>
    <fill>
      <patternFill patternType="gray125"/>
    </fill>
    <fill>
      <patternFill patternType="solid">
        <fgColor rgb="FF002E6E"/>
        <bgColor indexed="64"/>
      </patternFill>
    </fill>
    <fill>
      <patternFill patternType="solid">
        <fgColor rgb="FF4C60F2"/>
        <bgColor indexed="64"/>
      </patternFill>
    </fill>
    <fill>
      <patternFill patternType="solid">
        <fgColor rgb="FFE6E5E6"/>
        <bgColor indexed="64"/>
      </patternFill>
    </fill>
    <fill>
      <patternFill patternType="solid">
        <fgColor rgb="FF33415C"/>
        <bgColor indexed="64"/>
      </patternFill>
    </fill>
    <fill>
      <patternFill patternType="solid">
        <fgColor rgb="FFFFFFFF"/>
        <bgColor indexed="64"/>
      </patternFill>
    </fill>
    <fill>
      <patternFill patternType="solid">
        <fgColor rgb="FF1F4E79"/>
        <bgColor indexed="64"/>
      </patternFill>
    </fill>
    <fill>
      <patternFill patternType="solid">
        <fgColor rgb="FFD6E6F4"/>
        <bgColor indexed="64"/>
      </patternFill>
    </fill>
    <fill>
      <patternFill patternType="solid">
        <fgColor rgb="FF4472C4"/>
        <bgColor indexed="64"/>
      </patternFill>
    </fill>
    <fill>
      <patternFill patternType="solid">
        <fgColor rgb="FFF2F6FA"/>
        <bgColor indexed="64"/>
      </patternFill>
    </fill>
    <fill>
      <patternFill patternType="solid">
        <fgColor rgb="FFD9EAD3"/>
        <bgColor indexed="64"/>
      </patternFill>
    </fill>
  </fills>
  <borders count="7">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diagonal/>
    </border>
    <border>
      <left style="thin">
        <color rgb="FFD9E2F3"/>
      </left>
      <right style="thin">
        <color rgb="FFD9E2F3"/>
      </right>
      <top/>
      <bottom style="thin">
        <color rgb="FFD9E2F3"/>
      </bottom>
      <diagonal/>
    </border>
    <border>
      <left style="thin">
        <color rgb="FFD9E2F3"/>
      </left>
      <right style="thin">
        <color rgb="FFD9E2F3"/>
      </right>
      <top style="thin">
        <color rgb="FFD9E2F3"/>
      </top>
      <bottom style="medium">
        <color rgb="FF1F4E79"/>
      </bottom>
      <diagonal/>
    </border>
    <border>
      <left/>
      <right style="thin">
        <color rgb="FFD9E2F3"/>
      </right>
      <top/>
      <bottom style="thin">
        <color rgb="FFD9E2F3"/>
      </bottom>
      <diagonal/>
    </border>
    <border>
      <left style="thin">
        <color rgb="FF1F1F1F"/>
      </left>
      <right style="thin">
        <color rgb="FF1F1F1F"/>
      </right>
      <top style="medium">
        <color rgb="FF1F1F1F"/>
      </top>
      <bottom style="thin">
        <color rgb="FF1F1F1F"/>
      </bottom>
      <diagonal/>
    </border>
  </borders>
  <cellStyleXfs count="2">
    <xf numFmtId="0" fontId="0" fillId="0" borderId="0"/>
    <xf numFmtId="0" fontId="15" fillId="0" borderId="0" applyNumberFormat="0" applyFill="0" applyBorder="0" applyAlignment="0" applyProtection="0"/>
  </cellStyleXfs>
  <cellXfs count="35">
    <xf numFmtId="0" fontId="0" fillId="0" borderId="0" xfId="0"/>
    <xf numFmtId="0" fontId="4" fillId="5" borderId="0" xfId="0" applyFont="1" applyFill="1" applyAlignment="1">
      <alignment horizontal="left" vertical="center"/>
    </xf>
    <xf numFmtId="49" fontId="0" fillId="0" borderId="0" xfId="0" applyNumberFormat="1"/>
    <xf numFmtId="1" fontId="0" fillId="0" borderId="0" xfId="0" applyNumberFormat="1"/>
    <xf numFmtId="0" fontId="5" fillId="6" borderId="1" xfId="0" applyFont="1" applyFill="1" applyBorder="1" applyAlignment="1">
      <alignment vertical="center" wrapText="1"/>
    </xf>
    <xf numFmtId="49" fontId="5" fillId="6" borderId="1" xfId="0" applyNumberFormat="1" applyFont="1" applyFill="1" applyBorder="1" applyAlignment="1">
      <alignment vertical="center" wrapText="1"/>
    </xf>
    <xf numFmtId="0" fontId="5" fillId="6" borderId="2" xfId="0" applyFont="1" applyFill="1" applyBorder="1" applyAlignment="1">
      <alignment vertical="center" wrapText="1"/>
    </xf>
    <xf numFmtId="0" fontId="5" fillId="6" borderId="3" xfId="0" applyFont="1" applyFill="1" applyBorder="1" applyAlignment="1">
      <alignment vertical="center" wrapText="1"/>
    </xf>
    <xf numFmtId="0" fontId="5" fillId="6" borderId="5" xfId="0" applyFont="1" applyFill="1" applyBorder="1" applyAlignment="1">
      <alignment vertical="center" wrapText="1"/>
    </xf>
    <xf numFmtId="0" fontId="6" fillId="9" borderId="6" xfId="0" applyFont="1" applyFill="1" applyBorder="1" applyAlignment="1">
      <alignment horizontal="center" vertical="center" wrapText="1"/>
    </xf>
    <xf numFmtId="49" fontId="5" fillId="6" borderId="3" xfId="0" applyNumberFormat="1" applyFont="1" applyFill="1" applyBorder="1" applyAlignment="1">
      <alignment vertical="center" wrapText="1"/>
    </xf>
    <xf numFmtId="0" fontId="8" fillId="10" borderId="1" xfId="0" applyFont="1" applyFill="1" applyBorder="1" applyAlignment="1">
      <alignment vertical="center" wrapText="1"/>
    </xf>
    <xf numFmtId="0" fontId="12" fillId="6" borderId="3" xfId="0" applyFont="1" applyFill="1" applyBorder="1" applyAlignment="1">
      <alignment vertical="center" wrapText="1"/>
    </xf>
    <xf numFmtId="0" fontId="12" fillId="10" borderId="3" xfId="0" applyFont="1" applyFill="1" applyBorder="1" applyAlignment="1">
      <alignment vertical="center" wrapText="1"/>
    </xf>
    <xf numFmtId="0" fontId="12" fillId="10" borderId="1" xfId="0" applyFont="1" applyFill="1" applyBorder="1" applyAlignment="1">
      <alignment vertical="center" wrapText="1"/>
    </xf>
    <xf numFmtId="164" fontId="5" fillId="6" borderId="1" xfId="0" applyNumberFormat="1" applyFont="1" applyFill="1" applyBorder="1" applyAlignment="1">
      <alignment vertical="center" wrapText="1"/>
    </xf>
    <xf numFmtId="164" fontId="5" fillId="6" borderId="3" xfId="0" applyNumberFormat="1" applyFont="1" applyFill="1" applyBorder="1" applyAlignment="1">
      <alignment vertical="center" wrapText="1"/>
    </xf>
    <xf numFmtId="3" fontId="5" fillId="6" borderId="1" xfId="0" applyNumberFormat="1" applyFont="1" applyFill="1" applyBorder="1" applyAlignment="1">
      <alignment vertical="center" wrapText="1"/>
    </xf>
    <xf numFmtId="3" fontId="5" fillId="6" borderId="3" xfId="0" applyNumberFormat="1" applyFont="1" applyFill="1" applyBorder="1" applyAlignment="1">
      <alignment vertical="center" wrapText="1"/>
    </xf>
    <xf numFmtId="0" fontId="12" fillId="11" borderId="1" xfId="0" applyFont="1" applyFill="1" applyBorder="1" applyAlignment="1">
      <alignment vertical="center" wrapText="1"/>
    </xf>
    <xf numFmtId="3" fontId="12" fillId="11" borderId="1" xfId="0" applyNumberFormat="1" applyFont="1" applyFill="1" applyBorder="1" applyAlignment="1">
      <alignment vertical="center" wrapText="1"/>
    </xf>
    <xf numFmtId="164" fontId="12" fillId="11" borderId="1" xfId="0" applyNumberFormat="1" applyFont="1" applyFill="1" applyBorder="1" applyAlignment="1">
      <alignment vertical="center" wrapText="1"/>
    </xf>
    <xf numFmtId="0" fontId="13" fillId="6" borderId="3" xfId="0" applyFont="1" applyFill="1" applyBorder="1" applyAlignment="1">
      <alignment vertical="center" wrapText="1"/>
    </xf>
    <xf numFmtId="0" fontId="13" fillId="6" borderId="1" xfId="0" applyFont="1" applyFill="1" applyBorder="1" applyAlignment="1">
      <alignment vertical="center" wrapText="1"/>
    </xf>
    <xf numFmtId="0" fontId="10" fillId="8" borderId="2" xfId="0" applyFont="1" applyFill="1" applyBorder="1" applyAlignment="1">
      <alignment vertical="center" wrapText="1"/>
    </xf>
    <xf numFmtId="0" fontId="10" fillId="8" borderId="4" xfId="0" applyFont="1" applyFill="1" applyBorder="1" applyAlignment="1">
      <alignment vertical="center" wrapText="1"/>
    </xf>
    <xf numFmtId="0" fontId="8" fillId="10" borderId="1" xfId="0" applyFont="1" applyFill="1" applyBorder="1" applyAlignment="1">
      <alignment vertical="center" wrapText="1"/>
    </xf>
    <xf numFmtId="0" fontId="7" fillId="7" borderId="1" xfId="0" applyFont="1" applyFill="1" applyBorder="1" applyAlignment="1">
      <alignment vertical="center" wrapText="1"/>
    </xf>
    <xf numFmtId="0" fontId="9" fillId="8" borderId="1" xfId="0" applyFont="1" applyFill="1" applyBorder="1" applyAlignment="1">
      <alignment vertical="center" wrapText="1"/>
    </xf>
    <xf numFmtId="0" fontId="14" fillId="10" borderId="1" xfId="0" applyFont="1" applyFill="1" applyBorder="1" applyAlignment="1">
      <alignment vertical="center" wrapText="1"/>
    </xf>
    <xf numFmtId="0" fontId="11" fillId="10" borderId="1" xfId="0" applyFont="1" applyFill="1" applyBorder="1" applyAlignment="1">
      <alignment vertical="center" wrapText="1"/>
    </xf>
    <xf numFmtId="0" fontId="3" fillId="4" borderId="0" xfId="0" applyFont="1" applyFill="1" applyAlignment="1">
      <alignment horizontal="left" vertical="center"/>
    </xf>
    <xf numFmtId="0" fontId="1" fillId="2" borderId="0" xfId="0" applyFont="1" applyFill="1" applyAlignment="1">
      <alignment horizontal="left" vertical="center"/>
    </xf>
    <xf numFmtId="0" fontId="2" fillId="3" borderId="0" xfId="0" applyFont="1" applyFill="1" applyAlignment="1">
      <alignment horizontal="left" vertical="center"/>
    </xf>
    <xf numFmtId="0" fontId="15" fillId="6" borderId="1" xfId="1" applyFill="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gone.sharepoint.com/:p:/s/GlobalProductServices/IQAhg8ackh-HQ77DjbpXzz43ASkqCZKDUUbpZ9z4fYTL8-M?e=ELbrV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57F1D-8351-4968-B0E8-A1FBEC40528D}">
  <dimension ref="A1:N393"/>
  <sheetViews>
    <sheetView showGridLines="0" tabSelected="1" topLeftCell="A368" zoomScale="87" workbookViewId="0">
      <selection activeCell="A78" sqref="A78"/>
    </sheetView>
  </sheetViews>
  <sheetFormatPr defaultRowHeight="14.5" x14ac:dyDescent="0.35"/>
  <cols>
    <col min="1" max="1" width="14.54296875" customWidth="1"/>
    <col min="2" max="2" width="10" customWidth="1"/>
    <col min="3" max="3" width="14.54296875" customWidth="1"/>
    <col min="4" max="4" width="10.90625" customWidth="1"/>
    <col min="5" max="5" width="12.7265625" customWidth="1"/>
    <col min="6" max="7" width="18.1796875" customWidth="1"/>
    <col min="8" max="8" width="19.08984375" customWidth="1"/>
    <col min="9" max="9" width="13.6328125" customWidth="1"/>
    <col min="10" max="10" width="17.26953125" customWidth="1"/>
    <col min="11" max="11" width="15.453125" customWidth="1"/>
    <col min="12" max="12" width="17.26953125" customWidth="1"/>
    <col min="13" max="14" width="12.7265625" customWidth="1"/>
  </cols>
  <sheetData>
    <row r="1" spans="1:14" ht="48" customHeight="1" x14ac:dyDescent="0.35">
      <c r="A1" s="27" t="s">
        <v>1476</v>
      </c>
      <c r="B1" s="27"/>
      <c r="C1" s="27"/>
      <c r="D1" s="27"/>
      <c r="E1" s="27"/>
      <c r="F1" s="27"/>
      <c r="G1" s="27"/>
      <c r="H1" s="27"/>
      <c r="I1" s="27"/>
      <c r="J1" s="27"/>
      <c r="K1" s="27"/>
      <c r="L1" s="27"/>
      <c r="M1" s="27"/>
      <c r="N1" s="27"/>
    </row>
    <row r="2" spans="1:14" ht="24" customHeight="1" x14ac:dyDescent="0.35">
      <c r="A2" s="28" t="s">
        <v>1477</v>
      </c>
      <c r="B2" s="28"/>
      <c r="C2" s="28"/>
      <c r="D2" s="28"/>
      <c r="E2" s="28"/>
      <c r="F2" s="28"/>
      <c r="G2" s="28"/>
      <c r="H2" s="28"/>
      <c r="I2" s="28"/>
      <c r="J2" s="28"/>
      <c r="K2" s="28"/>
      <c r="L2" s="28"/>
      <c r="M2" s="28"/>
      <c r="N2" s="28"/>
    </row>
    <row r="3" spans="1:14" ht="30" customHeight="1" x14ac:dyDescent="0.35">
      <c r="A3" s="29" t="s">
        <v>1704</v>
      </c>
      <c r="B3" s="30"/>
      <c r="C3" s="30"/>
      <c r="D3" s="30"/>
      <c r="E3" s="30"/>
      <c r="F3" s="30"/>
      <c r="G3" s="30"/>
      <c r="H3" s="30"/>
      <c r="I3" s="30"/>
      <c r="J3" s="30"/>
      <c r="K3" s="30"/>
      <c r="L3" s="30"/>
      <c r="M3" s="30"/>
      <c r="N3" s="30"/>
    </row>
    <row r="4" spans="1:14" x14ac:dyDescent="0.35">
      <c r="A4" s="6"/>
      <c r="B4" s="6"/>
      <c r="C4" s="6"/>
      <c r="D4" s="6"/>
      <c r="E4" s="6"/>
      <c r="F4" s="6"/>
      <c r="G4" s="6"/>
      <c r="H4" s="6"/>
      <c r="I4" s="6"/>
      <c r="J4" s="6"/>
      <c r="K4" s="6"/>
      <c r="L4" s="6"/>
      <c r="M4" s="6"/>
      <c r="N4" s="6"/>
    </row>
    <row r="5" spans="1:14" ht="16.5" thickBot="1" x14ac:dyDescent="0.4">
      <c r="A5" s="25" t="s">
        <v>1478</v>
      </c>
      <c r="B5" s="25"/>
      <c r="C5" s="25"/>
      <c r="D5" s="25"/>
      <c r="E5" s="25"/>
      <c r="F5" s="25"/>
      <c r="G5" s="25"/>
      <c r="H5" s="25"/>
      <c r="I5" s="25"/>
      <c r="J5" s="25"/>
      <c r="K5" s="25"/>
      <c r="L5" s="25"/>
      <c r="M5" s="25"/>
      <c r="N5" s="25"/>
    </row>
    <row r="6" spans="1:14" ht="108" x14ac:dyDescent="0.35">
      <c r="A6" s="13" t="s">
        <v>1479</v>
      </c>
      <c r="B6" s="12" t="s">
        <v>1480</v>
      </c>
      <c r="C6" s="7"/>
      <c r="D6" s="7"/>
      <c r="E6" s="7"/>
      <c r="F6" s="7"/>
      <c r="G6" s="7"/>
      <c r="H6" s="7"/>
      <c r="I6" s="7"/>
      <c r="J6" s="7"/>
      <c r="K6" s="7"/>
      <c r="L6" s="7"/>
      <c r="M6" s="7"/>
      <c r="N6" s="7"/>
    </row>
    <row r="7" spans="1:14" x14ac:dyDescent="0.35">
      <c r="A7" s="14" t="s">
        <v>1481</v>
      </c>
      <c r="B7" s="17">
        <f>SUMIF('pampers-en_us'!D8:D129,"Inactive",'pampers-en_us'!M8:M129)+SUMIF('pampers-es'!D8:D38,"Inactive",'pampers-es'!M8:M38)+SUMIF('pampers-en_gb'!D8:D45,"Inactive",'pampers-en_gb'!M8:M45)+SUMIF('pampers-de_de'!D8:D43,"Inactive",'pampers-de_de'!M8:M43)+SUMIF('pampers-fr_fr'!D8:D86,"Inactive",'pampers-fr_fr'!M8:M86)+SUMIF(pgdodotspain!D8:D36,"Inactive",pgdodotspain!M8:M36)+SUMIF('pampers-ja_jp'!D8:D40,"Inactive",'pampers-ja_jp'!M8:M40)</f>
        <v>62301</v>
      </c>
      <c r="C7" s="4"/>
      <c r="D7" s="4"/>
      <c r="E7" s="4"/>
      <c r="F7" s="4"/>
      <c r="G7" s="4"/>
      <c r="H7" s="4"/>
      <c r="I7" s="4"/>
      <c r="J7" s="4"/>
      <c r="K7" s="4"/>
      <c r="L7" s="4"/>
      <c r="M7" s="4"/>
      <c r="N7" s="4"/>
    </row>
    <row r="8" spans="1:14" ht="24" x14ac:dyDescent="0.35">
      <c r="A8" s="14" t="s">
        <v>1482</v>
      </c>
      <c r="B8" s="17">
        <f>COUNTIFS('pampers-en_us'!D8:D129,"Inactive",'pampers-en_us'!M8:M129,"&gt;0")+COUNTIFS('pampers-es'!D8:D38,"Inactive",'pampers-es'!M8:M38,"&gt;0")+COUNTIFS('pampers-en_gb'!D8:D45,"Inactive",'pampers-en_gb'!M8:M45,"&gt;0")+COUNTIFS('pampers-de_de'!D8:D43,"Inactive",'pampers-de_de'!M8:M43,"&gt;0")+COUNTIFS('pampers-fr_fr'!D8:D86,"Inactive",'pampers-fr_fr'!M8:M86,"&gt;0")+COUNTIFS(pgdodotspain!D8:D36,"Inactive",pgdodotspain!M8:M36,"&gt;0")+COUNTIFS('pampers-ja_jp'!D8:D40,"Inactive",'pampers-ja_jp'!M8:M40,"&gt;0")</f>
        <v>229</v>
      </c>
      <c r="C8" s="4"/>
      <c r="D8" s="4"/>
      <c r="E8" s="4"/>
      <c r="F8" s="4"/>
      <c r="G8" s="4"/>
      <c r="H8" s="4"/>
      <c r="I8" s="4"/>
      <c r="J8" s="4"/>
      <c r="K8" s="4"/>
      <c r="L8" s="4"/>
      <c r="M8" s="4"/>
      <c r="N8" s="4"/>
    </row>
    <row r="9" spans="1:14" ht="48" x14ac:dyDescent="0.35">
      <c r="A9" s="14" t="s">
        <v>1483</v>
      </c>
      <c r="B9" s="17">
        <f>SUMIF('pampers-en_us'!D8:D129,"Inactive",'pampers-en_us'!M8:M129)+SUMIF('pampers-es'!D8:D38,"Inactive",'pampers-es'!M8:M38)+SUMIF('pampers-en_gb'!D8:D45,"Inactive",'pampers-en_gb'!M8:M45)+SUMIF('pampers-de_de'!D8:D43,"Inactive",'pampers-de_de'!M8:M43)+SUMIF('pampers-fr_fr'!D8:D86,"Inactive",'pampers-fr_fr'!M8:M86)+SUMIF(pgdodotspain!D8:D36,"Inactive",pgdodotspain!M8:M36)+SUMIF('pampers-ja_jp'!D8:D40,"Inactive",'pampers-ja_jp'!M8:M40)</f>
        <v>62301</v>
      </c>
      <c r="C9" s="4"/>
      <c r="D9" s="4"/>
      <c r="E9" s="4"/>
      <c r="F9" s="4"/>
      <c r="G9" s="4"/>
      <c r="H9" s="4"/>
      <c r="I9" s="4"/>
      <c r="J9" s="4"/>
      <c r="K9" s="4"/>
      <c r="L9" s="4"/>
      <c r="M9" s="4"/>
      <c r="N9" s="4"/>
    </row>
    <row r="10" spans="1:14" ht="36" x14ac:dyDescent="0.35">
      <c r="A10" s="14" t="s">
        <v>1484</v>
      </c>
      <c r="B10" s="15">
        <f>IFERROR(B9/(SUM('pampers-en_us'!M8:M129)+SUM('pampers-es'!M8:M38)+SUM('pampers-en_gb'!M8:M45)+SUM('pampers-de_de'!M8:M43)+SUM('pampers-fr_fr'!M8:M86)+SUM(pgdodotspain!M8:M36)+SUM('pampers-ja_jp'!M8:M40)),0)</f>
        <v>0.25959398984974624</v>
      </c>
      <c r="C10" s="4"/>
      <c r="D10" s="4"/>
      <c r="E10" s="4"/>
      <c r="F10" s="4"/>
      <c r="G10" s="4"/>
      <c r="H10" s="4"/>
      <c r="I10" s="4"/>
      <c r="J10" s="4"/>
      <c r="K10" s="4"/>
      <c r="L10" s="4"/>
      <c r="M10" s="4"/>
      <c r="N10" s="4"/>
    </row>
    <row r="11" spans="1:14" ht="48" x14ac:dyDescent="0.35">
      <c r="A11" s="14" t="s">
        <v>1485</v>
      </c>
      <c r="B11" s="4" t="s">
        <v>1486</v>
      </c>
      <c r="C11" s="4"/>
      <c r="D11" s="4"/>
      <c r="E11" s="4"/>
      <c r="F11" s="4"/>
      <c r="G11" s="4"/>
      <c r="H11" s="4"/>
      <c r="I11" s="4"/>
      <c r="J11" s="4"/>
      <c r="K11" s="4"/>
      <c r="L11" s="4"/>
      <c r="M11" s="4"/>
      <c r="N11" s="4"/>
    </row>
    <row r="12" spans="1:14" ht="48" x14ac:dyDescent="0.35">
      <c r="A12" s="14" t="s">
        <v>1487</v>
      </c>
      <c r="B12" s="4" t="s">
        <v>1488</v>
      </c>
      <c r="C12" s="4"/>
      <c r="D12" s="4"/>
      <c r="E12" s="4"/>
      <c r="F12" s="4"/>
      <c r="G12" s="4"/>
      <c r="H12" s="4"/>
      <c r="I12" s="4"/>
      <c r="J12" s="4"/>
      <c r="K12" s="4"/>
      <c r="L12" s="4"/>
      <c r="M12" s="4"/>
      <c r="N12" s="4"/>
    </row>
    <row r="13" spans="1:14" ht="24" x14ac:dyDescent="0.35">
      <c r="A13" s="14" t="s">
        <v>1489</v>
      </c>
      <c r="B13" s="4" t="s">
        <v>1490</v>
      </c>
      <c r="C13" s="4"/>
      <c r="D13" s="4"/>
      <c r="E13" s="4"/>
      <c r="F13" s="4"/>
      <c r="G13" s="4"/>
      <c r="H13" s="4"/>
      <c r="I13" s="4"/>
      <c r="J13" s="4"/>
      <c r="K13" s="4"/>
      <c r="L13" s="4"/>
      <c r="M13" s="4"/>
      <c r="N13" s="4"/>
    </row>
    <row r="14" spans="1:14" x14ac:dyDescent="0.35">
      <c r="A14" s="6"/>
      <c r="B14" s="6"/>
      <c r="C14" s="6"/>
      <c r="D14" s="6"/>
      <c r="E14" s="6"/>
      <c r="F14" s="6"/>
      <c r="G14" s="6"/>
      <c r="H14" s="6"/>
      <c r="I14" s="6"/>
      <c r="J14" s="6"/>
      <c r="K14" s="6"/>
      <c r="L14" s="6"/>
      <c r="M14" s="6"/>
      <c r="N14" s="6"/>
    </row>
    <row r="15" spans="1:14" ht="16.5" thickBot="1" x14ac:dyDescent="0.4">
      <c r="A15" s="24" t="s">
        <v>1491</v>
      </c>
      <c r="B15" s="24"/>
      <c r="C15" s="24"/>
      <c r="D15" s="24"/>
      <c r="E15" s="24"/>
      <c r="F15" s="24"/>
      <c r="G15" s="25"/>
      <c r="H15" s="25"/>
      <c r="I15" s="25"/>
      <c r="J15" s="25"/>
      <c r="K15" s="25"/>
      <c r="L15" s="25"/>
      <c r="M15" s="25"/>
      <c r="N15" s="25"/>
    </row>
    <row r="16" spans="1:14" ht="36" x14ac:dyDescent="0.35">
      <c r="A16" s="9" t="s">
        <v>1492</v>
      </c>
      <c r="B16" s="9" t="s">
        <v>1493</v>
      </c>
      <c r="C16" s="9" t="s">
        <v>1494</v>
      </c>
      <c r="D16" s="9" t="s">
        <v>1495</v>
      </c>
      <c r="E16" s="9" t="s">
        <v>1496</v>
      </c>
      <c r="F16" s="9" t="s">
        <v>1497</v>
      </c>
      <c r="G16" s="8"/>
      <c r="H16" s="7"/>
      <c r="I16" s="7"/>
      <c r="J16" s="7"/>
      <c r="K16" s="7"/>
      <c r="L16" s="7"/>
      <c r="M16" s="7"/>
      <c r="N16" s="7"/>
    </row>
    <row r="17" spans="1:14" ht="84" x14ac:dyDescent="0.35">
      <c r="A17" s="7" t="s">
        <v>8</v>
      </c>
      <c r="B17" s="7" t="s">
        <v>1498</v>
      </c>
      <c r="C17" s="7" t="s">
        <v>1499</v>
      </c>
      <c r="D17" s="7" t="s">
        <v>1500</v>
      </c>
      <c r="E17" s="7" t="s">
        <v>1501</v>
      </c>
      <c r="F17" s="22" t="s">
        <v>1703</v>
      </c>
      <c r="G17" s="4"/>
      <c r="H17" s="4"/>
      <c r="I17" s="4"/>
      <c r="J17" s="4"/>
      <c r="K17" s="4"/>
      <c r="L17" s="4"/>
      <c r="M17" s="4"/>
      <c r="N17" s="4"/>
    </row>
    <row r="18" spans="1:14" ht="84" x14ac:dyDescent="0.35">
      <c r="A18" s="4" t="s">
        <v>1502</v>
      </c>
      <c r="B18" s="4" t="s">
        <v>1503</v>
      </c>
      <c r="C18" s="4" t="s">
        <v>1504</v>
      </c>
      <c r="D18" s="4" t="s">
        <v>1505</v>
      </c>
      <c r="E18" s="4" t="s">
        <v>1506</v>
      </c>
      <c r="F18" s="23" t="s">
        <v>1703</v>
      </c>
      <c r="G18" s="4"/>
      <c r="H18" s="4"/>
      <c r="I18" s="4"/>
      <c r="J18" s="4"/>
      <c r="K18" s="4"/>
      <c r="L18" s="4"/>
      <c r="M18" s="4"/>
      <c r="N18" s="4"/>
    </row>
    <row r="19" spans="1:14" ht="84" x14ac:dyDescent="0.35">
      <c r="A19" s="4" t="s">
        <v>10</v>
      </c>
      <c r="B19" s="4" t="s">
        <v>1507</v>
      </c>
      <c r="C19" s="4" t="s">
        <v>1508</v>
      </c>
      <c r="D19" s="4" t="s">
        <v>1509</v>
      </c>
      <c r="E19" s="4" t="s">
        <v>1510</v>
      </c>
      <c r="F19" s="23" t="s">
        <v>1703</v>
      </c>
      <c r="G19" s="4"/>
      <c r="H19" s="4"/>
      <c r="I19" s="4"/>
      <c r="J19" s="4"/>
      <c r="K19" s="4"/>
      <c r="L19" s="4"/>
      <c r="M19" s="4"/>
      <c r="N19" s="4"/>
    </row>
    <row r="20" spans="1:14" ht="84" x14ac:dyDescent="0.35">
      <c r="A20" s="4" t="s">
        <v>1511</v>
      </c>
      <c r="B20" s="4" t="s">
        <v>1512</v>
      </c>
      <c r="C20" s="4" t="s">
        <v>1513</v>
      </c>
      <c r="D20" s="4" t="s">
        <v>1514</v>
      </c>
      <c r="E20" s="4" t="s">
        <v>1515</v>
      </c>
      <c r="F20" s="23" t="s">
        <v>1703</v>
      </c>
      <c r="G20" s="4"/>
      <c r="H20" s="4"/>
      <c r="I20" s="4"/>
      <c r="J20" s="4"/>
      <c r="K20" s="4"/>
      <c r="L20" s="4"/>
      <c r="M20" s="4"/>
      <c r="N20" s="4"/>
    </row>
    <row r="21" spans="1:14" ht="101.5" x14ac:dyDescent="0.35">
      <c r="A21" s="4" t="s">
        <v>1516</v>
      </c>
      <c r="B21" s="4" t="s">
        <v>1517</v>
      </c>
      <c r="C21" s="4" t="s">
        <v>1518</v>
      </c>
      <c r="D21" s="4" t="s">
        <v>1519</v>
      </c>
      <c r="E21" s="4" t="s">
        <v>1520</v>
      </c>
      <c r="F21" s="34" t="s">
        <v>1703</v>
      </c>
      <c r="G21" s="4"/>
      <c r="H21" s="4"/>
      <c r="I21" s="4"/>
      <c r="J21" s="4"/>
      <c r="K21" s="4"/>
      <c r="L21" s="4"/>
      <c r="M21" s="4"/>
      <c r="N21" s="4"/>
    </row>
    <row r="22" spans="1:14" ht="84" x14ac:dyDescent="0.35">
      <c r="A22" s="4" t="s">
        <v>13</v>
      </c>
      <c r="B22" s="4" t="s">
        <v>1521</v>
      </c>
      <c r="C22" s="4" t="s">
        <v>1522</v>
      </c>
      <c r="D22" s="4" t="s">
        <v>1523</v>
      </c>
      <c r="E22" s="4" t="s">
        <v>1524</v>
      </c>
      <c r="F22" s="23" t="s">
        <v>1703</v>
      </c>
      <c r="G22" s="4"/>
      <c r="H22" s="4"/>
      <c r="I22" s="4"/>
      <c r="J22" s="4"/>
      <c r="K22" s="4"/>
      <c r="L22" s="4"/>
      <c r="M22" s="4"/>
      <c r="N22" s="4"/>
    </row>
    <row r="23" spans="1:14" ht="84" x14ac:dyDescent="0.35">
      <c r="A23" s="4" t="s">
        <v>7</v>
      </c>
      <c r="B23" s="4" t="s">
        <v>1525</v>
      </c>
      <c r="C23" s="4" t="s">
        <v>1526</v>
      </c>
      <c r="D23" s="4" t="s">
        <v>1527</v>
      </c>
      <c r="E23" s="4" t="s">
        <v>1528</v>
      </c>
      <c r="F23" s="23" t="s">
        <v>1703</v>
      </c>
      <c r="G23" s="4"/>
      <c r="H23" s="4"/>
      <c r="I23" s="4"/>
      <c r="J23" s="4"/>
      <c r="K23" s="4"/>
      <c r="L23" s="4"/>
      <c r="M23" s="4"/>
      <c r="N23" s="4"/>
    </row>
    <row r="24" spans="1:14" ht="84" x14ac:dyDescent="0.35">
      <c r="A24" s="4" t="s">
        <v>9</v>
      </c>
      <c r="B24" s="4" t="s">
        <v>1529</v>
      </c>
      <c r="C24" s="4" t="s">
        <v>1530</v>
      </c>
      <c r="D24" s="4" t="s">
        <v>1531</v>
      </c>
      <c r="E24" s="4" t="s">
        <v>1532</v>
      </c>
      <c r="F24" s="23" t="s">
        <v>1703</v>
      </c>
      <c r="G24" s="4"/>
      <c r="H24" s="4"/>
      <c r="I24" s="4"/>
      <c r="J24" s="4"/>
      <c r="K24" s="4"/>
      <c r="L24" s="4"/>
      <c r="M24" s="4"/>
      <c r="N24" s="4"/>
    </row>
    <row r="25" spans="1:14" x14ac:dyDescent="0.35">
      <c r="A25" s="6"/>
      <c r="B25" s="6"/>
      <c r="C25" s="6"/>
      <c r="D25" s="6"/>
      <c r="E25" s="6"/>
      <c r="F25" s="6"/>
      <c r="G25" s="6"/>
      <c r="H25" s="6"/>
      <c r="I25" s="6"/>
      <c r="J25" s="6"/>
      <c r="K25" s="6"/>
      <c r="L25" s="6"/>
      <c r="M25" s="6"/>
      <c r="N25" s="6"/>
    </row>
    <row r="26" spans="1:14" ht="16.5" thickBot="1" x14ac:dyDescent="0.4">
      <c r="A26" s="24" t="s">
        <v>1533</v>
      </c>
      <c r="B26" s="24"/>
      <c r="C26" s="24"/>
      <c r="D26" s="24"/>
      <c r="E26" s="24"/>
      <c r="F26" s="24"/>
      <c r="G26" s="24"/>
      <c r="H26" s="24"/>
      <c r="I26" s="24"/>
      <c r="J26" s="24"/>
      <c r="K26" s="24"/>
      <c r="L26" s="24"/>
      <c r="M26" s="24"/>
      <c r="N26" s="24"/>
    </row>
    <row r="27" spans="1:14" ht="36" x14ac:dyDescent="0.35">
      <c r="A27" s="9" t="s">
        <v>1534</v>
      </c>
      <c r="B27" s="9" t="s">
        <v>1535</v>
      </c>
      <c r="C27" s="9" t="s">
        <v>1536</v>
      </c>
      <c r="D27" s="9" t="s">
        <v>1537</v>
      </c>
      <c r="E27" s="9" t="s">
        <v>1538</v>
      </c>
      <c r="F27" s="9" t="s">
        <v>1539</v>
      </c>
      <c r="G27" s="9" t="s">
        <v>1540</v>
      </c>
      <c r="H27" s="9" t="s">
        <v>1541</v>
      </c>
      <c r="I27" s="9" t="s">
        <v>1542</v>
      </c>
      <c r="J27" s="9" t="s">
        <v>1543</v>
      </c>
      <c r="K27" s="9" t="s">
        <v>1544</v>
      </c>
      <c r="L27" s="9" t="s">
        <v>1545</v>
      </c>
      <c r="M27" s="9" t="s">
        <v>1496</v>
      </c>
      <c r="N27" s="9" t="s">
        <v>1546</v>
      </c>
    </row>
    <row r="28" spans="1:14" ht="36" x14ac:dyDescent="0.35">
      <c r="A28" s="7" t="s">
        <v>1547</v>
      </c>
      <c r="B28" s="18">
        <f>COUNTIF('pampers-en_us'!D8:D129,"&lt;&gt;")</f>
        <v>122</v>
      </c>
      <c r="C28" s="18">
        <f>COUNTIF('pampers-en_us'!D8:D129,"Active")</f>
        <v>20</v>
      </c>
      <c r="D28" s="18">
        <f>COUNTIF('pampers-en_us'!D8:D129,"Inactive")</f>
        <v>102</v>
      </c>
      <c r="E28" s="16">
        <f t="shared" ref="E28:E35" si="0">IFERROR(D28/B28,0)</f>
        <v>0.83606557377049184</v>
      </c>
      <c r="F28" s="18">
        <f>SUM('pampers-en_us'!M8:M129)</f>
        <v>154472</v>
      </c>
      <c r="G28" s="18">
        <f>SUMIF('pampers-en_us'!D8:D129,"Inactive",'pampers-en_us'!M8:M129)</f>
        <v>34000</v>
      </c>
      <c r="H28" s="16">
        <f t="shared" ref="H28:H35" si="1">IFERROR(G28/F28,0)</f>
        <v>0.22010461442850485</v>
      </c>
      <c r="I28" s="18" cm="1">
        <f t="array" ref="I28">SUMPRODUCT(--('pampers-en_us'!D8:D129&lt;&gt;""),--(LEN(TRIM('pampers-en_us'!I8:I129))=0))</f>
        <v>36</v>
      </c>
      <c r="J28" s="18" cm="1">
        <f t="array" ref="J28">SUMPRODUCT(--('pampers-en_us'!D8:D129&lt;&gt;""),--(LEN(TRIM('pampers-en_us'!F8:F129))=0))</f>
        <v>38</v>
      </c>
      <c r="K28" s="18" cm="1">
        <f t="array" ref="K28">SUMPRODUCT(--('pampers-en_us'!D8:D129&lt;&gt;""),--(LEN(TRIM('pampers-en_us'!H8:H129))=0))</f>
        <v>36</v>
      </c>
      <c r="L28" s="7" t="str">
        <f t="shared" ref="L28:L34" si="2">IF(G28&gt;0,"Hidden reviews reduce social proof.","No hidden-review impact found.")</f>
        <v>Hidden reviews reduce social proof.</v>
      </c>
      <c r="M28" s="7" t="str">
        <f t="shared" ref="M28:M34" si="3">IF(G28&gt;0,"Map reviewed IDs; then activate.","Maintain status governance.")</f>
        <v>Map reviewed IDs; then activate.</v>
      </c>
      <c r="N28" s="7" t="str">
        <f t="shared" ref="N28:N34" si="4">IF(G28&gt;0,"CRUCIAL",IF(I28&gt;0,"HIGH",IF(J28+K28&gt;0,"MEDIUM","LOW")))</f>
        <v>CRUCIAL</v>
      </c>
    </row>
    <row r="29" spans="1:14" ht="36" x14ac:dyDescent="0.35">
      <c r="A29" s="4" t="s">
        <v>1548</v>
      </c>
      <c r="B29" s="17">
        <f>COUNTIF('pampers-es'!D8:D38,"&lt;&gt;")</f>
        <v>31</v>
      </c>
      <c r="C29" s="17">
        <f>COUNTIF('pampers-es'!D8:D38,"Active")</f>
        <v>0</v>
      </c>
      <c r="D29" s="17">
        <f>COUNTIF('pampers-es'!D8:D38,"Inactive")</f>
        <v>31</v>
      </c>
      <c r="E29" s="15">
        <f t="shared" si="0"/>
        <v>1</v>
      </c>
      <c r="F29" s="17">
        <f>SUM('pampers-es'!M8:M38)</f>
        <v>1884</v>
      </c>
      <c r="G29" s="17">
        <f>SUMIF('pampers-es'!D8:D38,"Inactive",'pampers-es'!M8:M38)</f>
        <v>1884</v>
      </c>
      <c r="H29" s="15">
        <f t="shared" si="1"/>
        <v>1</v>
      </c>
      <c r="I29" s="17" cm="1">
        <f t="array" ref="I29">SUMPRODUCT(--('pampers-es'!D8:D38&lt;&gt;""),--(LEN(TRIM('pampers-es'!I8:I38))=0))</f>
        <v>3</v>
      </c>
      <c r="J29" s="17" cm="1">
        <f t="array" ref="J29">SUMPRODUCT(--('pampers-es'!D8:D38&lt;&gt;""),--(LEN(TRIM('pampers-es'!F8:F38))=0))</f>
        <v>3</v>
      </c>
      <c r="K29" s="17" cm="1">
        <f t="array" ref="K29">SUMPRODUCT(--('pampers-es'!D8:D38&lt;&gt;""),--(LEN(TRIM('pampers-es'!H8:H38))=0))</f>
        <v>2</v>
      </c>
      <c r="L29" s="4" t="str">
        <f t="shared" si="2"/>
        <v>Hidden reviews reduce social proof.</v>
      </c>
      <c r="M29" s="4" t="str">
        <f t="shared" si="3"/>
        <v>Map reviewed IDs; then activate.</v>
      </c>
      <c r="N29" s="4" t="str">
        <f t="shared" si="4"/>
        <v>CRUCIAL</v>
      </c>
    </row>
    <row r="30" spans="1:14" ht="36" x14ac:dyDescent="0.35">
      <c r="A30" s="4" t="s">
        <v>1549</v>
      </c>
      <c r="B30" s="17">
        <f>COUNTIF('pampers-en_gb'!D8:D45,"&lt;&gt;")</f>
        <v>38</v>
      </c>
      <c r="C30" s="17">
        <f>COUNTIF('pampers-en_gb'!D8:D45,"Active")</f>
        <v>15</v>
      </c>
      <c r="D30" s="17">
        <f>COUNTIF('pampers-en_gb'!D8:D45,"Inactive")</f>
        <v>23</v>
      </c>
      <c r="E30" s="15">
        <f t="shared" si="0"/>
        <v>0.60526315789473684</v>
      </c>
      <c r="F30" s="17">
        <f>SUM('pampers-en_gb'!M8:M45)</f>
        <v>13143</v>
      </c>
      <c r="G30" s="17">
        <f>SUMIF('pampers-en_gb'!D8:D45,"Inactive",'pampers-en_gb'!M8:M45)</f>
        <v>1580</v>
      </c>
      <c r="H30" s="15">
        <f t="shared" si="1"/>
        <v>0.120216084607776</v>
      </c>
      <c r="I30" s="17" cm="1">
        <f t="array" ref="I30">SUMPRODUCT(--('pampers-en_gb'!D8:D45&lt;&gt;""),--(LEN(TRIM('pampers-en_gb'!J8:J45))=0))</f>
        <v>7</v>
      </c>
      <c r="J30" s="17" cm="1">
        <f t="array" ref="J30">SUMPRODUCT(--('pampers-en_gb'!D8:D45&lt;&gt;""),--(LEN(TRIM('pampers-en_gb'!F8:F45))=0))</f>
        <v>5</v>
      </c>
      <c r="K30" s="17" cm="1">
        <f t="array" ref="K30">SUMPRODUCT(--('pampers-en_gb'!D8:D45&lt;&gt;""),--(LEN(TRIM('pampers-en_gb'!H8:H45))=0))</f>
        <v>7</v>
      </c>
      <c r="L30" s="4" t="str">
        <f t="shared" si="2"/>
        <v>Hidden reviews reduce social proof.</v>
      </c>
      <c r="M30" s="4" t="str">
        <f t="shared" si="3"/>
        <v>Map reviewed IDs; then activate.</v>
      </c>
      <c r="N30" s="4" t="str">
        <f t="shared" si="4"/>
        <v>CRUCIAL</v>
      </c>
    </row>
    <row r="31" spans="1:14" ht="36" x14ac:dyDescent="0.35">
      <c r="A31" s="4" t="s">
        <v>1550</v>
      </c>
      <c r="B31" s="17">
        <f>COUNTIF('pampers-de_de'!D8:D43,"&lt;&gt;")</f>
        <v>36</v>
      </c>
      <c r="C31" s="17">
        <f>COUNTIF('pampers-de_de'!D8:D43,"Active")</f>
        <v>11</v>
      </c>
      <c r="D31" s="17">
        <f>COUNTIF('pampers-de_de'!D8:D43,"Inactive")</f>
        <v>25</v>
      </c>
      <c r="E31" s="15">
        <f t="shared" si="0"/>
        <v>0.69444444444444442</v>
      </c>
      <c r="F31" s="17">
        <f>SUM('pampers-de_de'!M8:M43)</f>
        <v>30459</v>
      </c>
      <c r="G31" s="17">
        <f>SUMIF('pampers-de_de'!D8:D43,"Inactive",'pampers-de_de'!M8:M43)</f>
        <v>9214</v>
      </c>
      <c r="H31" s="15">
        <f t="shared" si="1"/>
        <v>0.30250500673035885</v>
      </c>
      <c r="I31" s="17" cm="1">
        <f t="array" ref="I31">SUMPRODUCT(--('pampers-de_de'!D8:D43&lt;&gt;""),--(LEN(TRIM('pampers-de_de'!J8:J43))=0))</f>
        <v>9</v>
      </c>
      <c r="J31" s="17" cm="1">
        <f t="array" ref="J31">SUMPRODUCT(--('pampers-de_de'!D8:D43&lt;&gt;""),--(LEN(TRIM('pampers-de_de'!F8:F43))=0))</f>
        <v>6</v>
      </c>
      <c r="K31" s="17" cm="1">
        <f t="array" ref="K31">SUMPRODUCT(--('pampers-de_de'!D8:D43&lt;&gt;""),--(LEN(TRIM('pampers-de_de'!H8:H43))=0))</f>
        <v>11</v>
      </c>
      <c r="L31" s="4" t="str">
        <f t="shared" si="2"/>
        <v>Hidden reviews reduce social proof.</v>
      </c>
      <c r="M31" s="4" t="str">
        <f t="shared" si="3"/>
        <v>Map reviewed IDs; then activate.</v>
      </c>
      <c r="N31" s="4" t="str">
        <f t="shared" si="4"/>
        <v>CRUCIAL</v>
      </c>
    </row>
    <row r="32" spans="1:14" ht="36" x14ac:dyDescent="0.35">
      <c r="A32" s="4" t="s">
        <v>1551</v>
      </c>
      <c r="B32" s="17">
        <f>COUNTIF('pampers-fr_fr'!D8:D86,"&lt;&gt;")</f>
        <v>79</v>
      </c>
      <c r="C32" s="17">
        <f>COUNTIF('pampers-fr_fr'!D8:D86,"Active")</f>
        <v>46</v>
      </c>
      <c r="D32" s="17">
        <f>COUNTIF('pampers-fr_fr'!D8:D86,"Inactive")</f>
        <v>33</v>
      </c>
      <c r="E32" s="15">
        <f t="shared" si="0"/>
        <v>0.41772151898734178</v>
      </c>
      <c r="F32" s="17">
        <f>SUM('pampers-fr_fr'!M8:M86)</f>
        <v>30952</v>
      </c>
      <c r="G32" s="17">
        <f>SUMIF('pampers-fr_fr'!D8:D86,"Inactive",'pampers-fr_fr'!M8:M86)</f>
        <v>6541</v>
      </c>
      <c r="H32" s="15">
        <f t="shared" si="1"/>
        <v>0.21132721633497029</v>
      </c>
      <c r="I32" s="17" cm="1">
        <f t="array" ref="I32">SUMPRODUCT(--('pampers-fr_fr'!D8:D86&lt;&gt;""),--(LEN(TRIM('pampers-fr_fr'!J8:J86))=0))</f>
        <v>10</v>
      </c>
      <c r="J32" s="17" cm="1">
        <f t="array" ref="J32">SUMPRODUCT(--('pampers-fr_fr'!D8:D86&lt;&gt;""),--(LEN(TRIM('pampers-fr_fr'!F8:F86))=0))</f>
        <v>4</v>
      </c>
      <c r="K32" s="17" cm="1">
        <f t="array" ref="K32">SUMPRODUCT(--('pampers-fr_fr'!D8:D86&lt;&gt;""),--(LEN(TRIM('pampers-fr_fr'!H8:H86))=0))</f>
        <v>10</v>
      </c>
      <c r="L32" s="4" t="str">
        <f t="shared" si="2"/>
        <v>Hidden reviews reduce social proof.</v>
      </c>
      <c r="M32" s="4" t="str">
        <f t="shared" si="3"/>
        <v>Map reviewed IDs; then activate.</v>
      </c>
      <c r="N32" s="4" t="str">
        <f t="shared" si="4"/>
        <v>CRUCIAL</v>
      </c>
    </row>
    <row r="33" spans="1:14" ht="36" x14ac:dyDescent="0.35">
      <c r="A33" s="4" t="s">
        <v>1552</v>
      </c>
      <c r="B33" s="17">
        <f>COUNTIF(pgdodotspain!D8:D36,"&lt;&gt;")</f>
        <v>29</v>
      </c>
      <c r="C33" s="17">
        <f>COUNTIF(pgdodotspain!D8:D36,"Active")</f>
        <v>1</v>
      </c>
      <c r="D33" s="17">
        <f>COUNTIF(pgdodotspain!D8:D36,"Inactive")</f>
        <v>28</v>
      </c>
      <c r="E33" s="15">
        <f t="shared" si="0"/>
        <v>0.96551724137931039</v>
      </c>
      <c r="F33" s="17">
        <f>SUM(pgdodotspain!M8:M36)</f>
        <v>5979</v>
      </c>
      <c r="G33" s="17">
        <f>SUMIF(pgdodotspain!D8:D36,"Inactive",pgdodotspain!M8:M36)</f>
        <v>5977</v>
      </c>
      <c r="H33" s="15">
        <f t="shared" si="1"/>
        <v>0.99966549590232479</v>
      </c>
      <c r="I33" s="17" cm="1">
        <f t="array" ref="I33">SUMPRODUCT(--(pgdodotspain!D8:D36&lt;&gt;""),--(LEN(TRIM(pgdodotspain!J8:J36))=0))</f>
        <v>10</v>
      </c>
      <c r="J33" s="17" cm="1">
        <f t="array" ref="J33">SUMPRODUCT(--(pgdodotspain!D8:D36&lt;&gt;""),--(LEN(TRIM(pgdodotspain!F8:F36))=0))</f>
        <v>9</v>
      </c>
      <c r="K33" s="17" cm="1">
        <f t="array" ref="K33">SUMPRODUCT(--(pgdodotspain!D8:D36&lt;&gt;""),--(LEN(TRIM(pgdodotspain!H8:H36))=0))</f>
        <v>9</v>
      </c>
      <c r="L33" s="4" t="str">
        <f t="shared" si="2"/>
        <v>Hidden reviews reduce social proof.</v>
      </c>
      <c r="M33" s="4" t="str">
        <f t="shared" si="3"/>
        <v>Map reviewed IDs; then activate.</v>
      </c>
      <c r="N33" s="4" t="str">
        <f t="shared" si="4"/>
        <v>CRUCIAL</v>
      </c>
    </row>
    <row r="34" spans="1:14" ht="36" x14ac:dyDescent="0.35">
      <c r="A34" s="4" t="s">
        <v>1553</v>
      </c>
      <c r="B34" s="17">
        <f>COUNTIF('pampers-ja_jp'!D8:D40,"&lt;&gt;")</f>
        <v>33</v>
      </c>
      <c r="C34" s="17">
        <f>COUNTIF('pampers-ja_jp'!D8:D40,"Active")</f>
        <v>0</v>
      </c>
      <c r="D34" s="17">
        <f>COUNTIF('pampers-ja_jp'!D8:D40,"Inactive")</f>
        <v>33</v>
      </c>
      <c r="E34" s="15">
        <f t="shared" si="0"/>
        <v>1</v>
      </c>
      <c r="F34" s="17">
        <f>SUM('pampers-ja_jp'!M8:M40)</f>
        <v>3105</v>
      </c>
      <c r="G34" s="17">
        <f>SUMIF('pampers-ja_jp'!D8:D40,"Inactive",'pampers-ja_jp'!M8:M40)</f>
        <v>3105</v>
      </c>
      <c r="H34" s="15">
        <f t="shared" si="1"/>
        <v>1</v>
      </c>
      <c r="I34" s="17" cm="1">
        <f t="array" ref="I34">SUMPRODUCT(--('pampers-ja_jp'!D8:D40&lt;&gt;""),--(LEN(TRIM('pampers-ja_jp'!J8:J40))=0))</f>
        <v>10</v>
      </c>
      <c r="J34" s="17" cm="1">
        <f t="array" ref="J34">SUMPRODUCT(--('pampers-ja_jp'!D8:D40&lt;&gt;""),--(LEN(TRIM('pampers-ja_jp'!F8:F40))=0))</f>
        <v>2</v>
      </c>
      <c r="K34" s="17" cm="1">
        <f t="array" ref="K34">SUMPRODUCT(--('pampers-ja_jp'!D8:D40&lt;&gt;""),--(LEN(TRIM('pampers-ja_jp'!H8:H40))=0))</f>
        <v>3</v>
      </c>
      <c r="L34" s="4" t="str">
        <f t="shared" si="2"/>
        <v>Hidden reviews reduce social proof.</v>
      </c>
      <c r="M34" s="4" t="str">
        <f t="shared" si="3"/>
        <v>Map reviewed IDs; then activate.</v>
      </c>
      <c r="N34" s="4" t="str">
        <f t="shared" si="4"/>
        <v>CRUCIAL</v>
      </c>
    </row>
    <row r="35" spans="1:14" ht="36" x14ac:dyDescent="0.35">
      <c r="A35" s="19" t="s">
        <v>1554</v>
      </c>
      <c r="B35" s="20">
        <f>SUM(B28:B34)</f>
        <v>368</v>
      </c>
      <c r="C35" s="20">
        <f>SUM(C28:C34)</f>
        <v>93</v>
      </c>
      <c r="D35" s="20">
        <f>SUM(D28:D34)</f>
        <v>275</v>
      </c>
      <c r="E35" s="21">
        <f t="shared" si="0"/>
        <v>0.74728260869565222</v>
      </c>
      <c r="F35" s="20">
        <f>SUM(F28:F34)</f>
        <v>239994</v>
      </c>
      <c r="G35" s="20">
        <f>SUM(G28:G34)</f>
        <v>62301</v>
      </c>
      <c r="H35" s="21">
        <f t="shared" si="1"/>
        <v>0.25959398984974624</v>
      </c>
      <c r="I35" s="20">
        <f>SUM(I28:I34)</f>
        <v>85</v>
      </c>
      <c r="J35" s="20">
        <f>SUM(J28:J34)</f>
        <v>67</v>
      </c>
      <c r="K35" s="20">
        <f>SUM(K28:K34)</f>
        <v>78</v>
      </c>
      <c r="L35" s="19" t="str">
        <f>"Hidden reviews: "&amp;TEXT(G35,"#,##0")</f>
        <v>Hidden reviews: 62,301</v>
      </c>
      <c r="M35" s="19" t="str">
        <f>"Prioritize "&amp;TEXT(G35,"#,##0")&amp;" hidden reviews."</f>
        <v>Prioritize 62,301 hidden reviews.</v>
      </c>
      <c r="N35" s="19" t="str">
        <f>IF(G35&gt;0,"CRUCIAL","LOW")</f>
        <v>CRUCIAL</v>
      </c>
    </row>
    <row r="36" spans="1:14" x14ac:dyDescent="0.35">
      <c r="A36" s="4"/>
      <c r="B36" s="4"/>
      <c r="C36" s="4"/>
      <c r="D36" s="4"/>
      <c r="E36" s="4"/>
      <c r="F36" s="4"/>
      <c r="G36" s="4"/>
      <c r="H36" s="4"/>
      <c r="I36" s="4"/>
      <c r="J36" s="4"/>
      <c r="K36" s="4"/>
      <c r="L36" s="4"/>
      <c r="M36" s="4"/>
      <c r="N36" s="4"/>
    </row>
    <row r="37" spans="1:14" x14ac:dyDescent="0.35">
      <c r="A37" s="26" t="s">
        <v>1555</v>
      </c>
      <c r="B37" s="26"/>
      <c r="C37" s="26"/>
      <c r="D37" s="26"/>
      <c r="E37" s="26"/>
      <c r="F37" s="26"/>
      <c r="G37" s="26"/>
      <c r="H37" s="26"/>
      <c r="I37" s="26"/>
      <c r="J37" s="26"/>
      <c r="K37" s="26"/>
      <c r="L37" s="26"/>
      <c r="M37" s="26"/>
      <c r="N37" s="26"/>
    </row>
    <row r="38" spans="1:14" x14ac:dyDescent="0.35">
      <c r="A38" s="6"/>
      <c r="B38" s="6"/>
      <c r="C38" s="6"/>
      <c r="D38" s="6"/>
      <c r="E38" s="6"/>
      <c r="F38" s="6"/>
      <c r="G38" s="6"/>
      <c r="H38" s="6"/>
      <c r="I38" s="6"/>
      <c r="J38" s="6"/>
      <c r="K38" s="6"/>
      <c r="L38" s="6"/>
      <c r="M38" s="6"/>
      <c r="N38" s="6"/>
    </row>
    <row r="39" spans="1:14" ht="16.5" thickBot="1" x14ac:dyDescent="0.4">
      <c r="A39" s="24" t="s">
        <v>1556</v>
      </c>
      <c r="B39" s="24"/>
      <c r="C39" s="24"/>
      <c r="D39" s="24"/>
      <c r="E39" s="24"/>
      <c r="F39" s="24"/>
      <c r="G39" s="24"/>
      <c r="H39" s="24"/>
      <c r="I39" s="24"/>
      <c r="J39" s="25"/>
      <c r="K39" s="25"/>
      <c r="L39" s="25"/>
      <c r="M39" s="25"/>
      <c r="N39" s="25"/>
    </row>
    <row r="40" spans="1:14" ht="24" x14ac:dyDescent="0.35">
      <c r="A40" s="9" t="s">
        <v>1534</v>
      </c>
      <c r="B40" s="9" t="s">
        <v>1557</v>
      </c>
      <c r="C40" s="9" t="s">
        <v>1558</v>
      </c>
      <c r="D40" s="9" t="s">
        <v>1492</v>
      </c>
      <c r="E40" s="9" t="s">
        <v>1559</v>
      </c>
      <c r="F40" s="9" t="s">
        <v>1545</v>
      </c>
      <c r="G40" s="9" t="s">
        <v>1496</v>
      </c>
      <c r="H40" s="9" t="s">
        <v>1560</v>
      </c>
      <c r="I40" s="9" t="s">
        <v>1546</v>
      </c>
      <c r="J40" s="8"/>
      <c r="K40" s="7"/>
      <c r="L40" s="7"/>
      <c r="M40" s="7"/>
      <c r="N40" s="7"/>
    </row>
    <row r="41" spans="1:14" ht="48" x14ac:dyDescent="0.35">
      <c r="A41" s="7" t="s">
        <v>1547</v>
      </c>
      <c r="B41" s="7">
        <v>1</v>
      </c>
      <c r="C41" s="7" t="s">
        <v>1561</v>
      </c>
      <c r="D41" s="7" t="s">
        <v>9</v>
      </c>
      <c r="E41" s="7" t="s">
        <v>1562</v>
      </c>
      <c r="F41" s="7" t="s">
        <v>1563</v>
      </c>
      <c r="G41" s="7" t="s">
        <v>1564</v>
      </c>
      <c r="H41" s="7" t="s">
        <v>1488</v>
      </c>
      <c r="I41" s="7" t="s">
        <v>1490</v>
      </c>
      <c r="J41" s="4"/>
      <c r="K41" s="4"/>
      <c r="L41" s="4"/>
      <c r="M41" s="4"/>
      <c r="N41" s="4"/>
    </row>
    <row r="42" spans="1:14" ht="36" x14ac:dyDescent="0.35">
      <c r="A42" s="4" t="s">
        <v>1547</v>
      </c>
      <c r="B42" s="4">
        <v>2</v>
      </c>
      <c r="C42" s="4" t="s">
        <v>1565</v>
      </c>
      <c r="D42" s="4" t="s">
        <v>8</v>
      </c>
      <c r="E42" s="4" t="s">
        <v>1566</v>
      </c>
      <c r="F42" s="4" t="s">
        <v>1567</v>
      </c>
      <c r="G42" s="4" t="s">
        <v>1568</v>
      </c>
      <c r="H42" s="4" t="s">
        <v>1569</v>
      </c>
      <c r="I42" s="4" t="s">
        <v>1570</v>
      </c>
      <c r="J42" s="4"/>
      <c r="K42" s="4"/>
      <c r="L42" s="4"/>
      <c r="M42" s="4"/>
      <c r="N42" s="4"/>
    </row>
    <row r="43" spans="1:14" ht="24" x14ac:dyDescent="0.35">
      <c r="A43" s="4" t="s">
        <v>1547</v>
      </c>
      <c r="B43" s="4">
        <v>3</v>
      </c>
      <c r="C43" s="4" t="s">
        <v>1571</v>
      </c>
      <c r="D43" s="4" t="s">
        <v>14</v>
      </c>
      <c r="E43" s="4" t="s">
        <v>1572</v>
      </c>
      <c r="F43" s="4" t="s">
        <v>1573</v>
      </c>
      <c r="G43" s="4" t="s">
        <v>1574</v>
      </c>
      <c r="H43" s="4" t="s">
        <v>1575</v>
      </c>
      <c r="I43" s="4" t="s">
        <v>1570</v>
      </c>
      <c r="J43" s="4"/>
      <c r="K43" s="4"/>
      <c r="L43" s="4"/>
      <c r="M43" s="4"/>
      <c r="N43" s="4"/>
    </row>
    <row r="44" spans="1:14" ht="36" x14ac:dyDescent="0.35">
      <c r="A44" s="4" t="s">
        <v>1547</v>
      </c>
      <c r="B44" s="4">
        <v>4</v>
      </c>
      <c r="C44" s="4" t="s">
        <v>1576</v>
      </c>
      <c r="D44" s="4" t="s">
        <v>1577</v>
      </c>
      <c r="E44" s="4" t="s">
        <v>1578</v>
      </c>
      <c r="F44" s="4" t="s">
        <v>1579</v>
      </c>
      <c r="G44" s="4" t="s">
        <v>1580</v>
      </c>
      <c r="H44" s="4" t="s">
        <v>1581</v>
      </c>
      <c r="I44" s="4" t="s">
        <v>1582</v>
      </c>
      <c r="J44" s="4"/>
      <c r="K44" s="4"/>
      <c r="L44" s="4"/>
      <c r="M44" s="4"/>
      <c r="N44" s="4"/>
    </row>
    <row r="45" spans="1:14" ht="24" x14ac:dyDescent="0.35">
      <c r="A45" s="4" t="s">
        <v>1547</v>
      </c>
      <c r="B45" s="4">
        <v>5</v>
      </c>
      <c r="C45" s="4" t="s">
        <v>1583</v>
      </c>
      <c r="D45" s="4" t="s">
        <v>7</v>
      </c>
      <c r="E45" s="4" t="s">
        <v>1584</v>
      </c>
      <c r="F45" s="4" t="s">
        <v>1585</v>
      </c>
      <c r="G45" s="4" t="s">
        <v>1586</v>
      </c>
      <c r="H45" s="4" t="s">
        <v>1587</v>
      </c>
      <c r="I45" s="4" t="s">
        <v>1582</v>
      </c>
      <c r="J45" s="4"/>
      <c r="K45" s="4"/>
      <c r="L45" s="4"/>
      <c r="M45" s="4"/>
      <c r="N45" s="4"/>
    </row>
    <row r="46" spans="1:14" ht="48" x14ac:dyDescent="0.35">
      <c r="A46" s="4" t="s">
        <v>1548</v>
      </c>
      <c r="B46" s="4">
        <v>1</v>
      </c>
      <c r="C46" s="4" t="s">
        <v>1561</v>
      </c>
      <c r="D46" s="4" t="s">
        <v>9</v>
      </c>
      <c r="E46" s="4" t="s">
        <v>1588</v>
      </c>
      <c r="F46" s="4" t="s">
        <v>1563</v>
      </c>
      <c r="G46" s="4" t="s">
        <v>1564</v>
      </c>
      <c r="H46" s="4" t="s">
        <v>1488</v>
      </c>
      <c r="I46" s="4" t="s">
        <v>1490</v>
      </c>
      <c r="J46" s="4"/>
      <c r="K46" s="4"/>
      <c r="L46" s="4"/>
      <c r="M46" s="4"/>
      <c r="N46" s="4"/>
    </row>
    <row r="47" spans="1:14" ht="36" x14ac:dyDescent="0.35">
      <c r="A47" s="4" t="s">
        <v>1548</v>
      </c>
      <c r="B47" s="4">
        <v>2</v>
      </c>
      <c r="C47" s="4" t="s">
        <v>1565</v>
      </c>
      <c r="D47" s="4" t="s">
        <v>8</v>
      </c>
      <c r="E47" s="4" t="s">
        <v>1589</v>
      </c>
      <c r="F47" s="4" t="s">
        <v>1567</v>
      </c>
      <c r="G47" s="4" t="s">
        <v>1568</v>
      </c>
      <c r="H47" s="4" t="s">
        <v>1569</v>
      </c>
      <c r="I47" s="4" t="s">
        <v>1570</v>
      </c>
      <c r="J47" s="4"/>
      <c r="K47" s="4"/>
      <c r="L47" s="4"/>
      <c r="M47" s="4"/>
      <c r="N47" s="4"/>
    </row>
    <row r="48" spans="1:14" ht="24" x14ac:dyDescent="0.35">
      <c r="A48" s="4" t="s">
        <v>1548</v>
      </c>
      <c r="B48" s="4">
        <v>3</v>
      </c>
      <c r="C48" s="4" t="s">
        <v>1571</v>
      </c>
      <c r="D48" s="4" t="s">
        <v>14</v>
      </c>
      <c r="E48" s="4" t="s">
        <v>1590</v>
      </c>
      <c r="F48" s="4" t="s">
        <v>1573</v>
      </c>
      <c r="G48" s="4" t="s">
        <v>1574</v>
      </c>
      <c r="H48" s="4" t="s">
        <v>1575</v>
      </c>
      <c r="I48" s="4" t="s">
        <v>1570</v>
      </c>
      <c r="J48" s="4"/>
      <c r="K48" s="4"/>
      <c r="L48" s="4"/>
      <c r="M48" s="4"/>
      <c r="N48" s="4"/>
    </row>
    <row r="49" spans="1:14" ht="36" x14ac:dyDescent="0.35">
      <c r="A49" s="4" t="s">
        <v>1548</v>
      </c>
      <c r="B49" s="4">
        <v>4</v>
      </c>
      <c r="C49" s="4" t="s">
        <v>1576</v>
      </c>
      <c r="D49" s="4" t="s">
        <v>1577</v>
      </c>
      <c r="E49" s="4" t="s">
        <v>1590</v>
      </c>
      <c r="F49" s="4" t="s">
        <v>1579</v>
      </c>
      <c r="G49" s="4" t="s">
        <v>1580</v>
      </c>
      <c r="H49" s="4" t="s">
        <v>1581</v>
      </c>
      <c r="I49" s="4" t="s">
        <v>1582</v>
      </c>
      <c r="J49" s="4"/>
      <c r="K49" s="4"/>
      <c r="L49" s="4"/>
      <c r="M49" s="4"/>
      <c r="N49" s="4"/>
    </row>
    <row r="50" spans="1:14" ht="48" x14ac:dyDescent="0.35">
      <c r="A50" s="4" t="s">
        <v>1549</v>
      </c>
      <c r="B50" s="4">
        <v>1</v>
      </c>
      <c r="C50" s="4" t="s">
        <v>1561</v>
      </c>
      <c r="D50" s="4" t="s">
        <v>9</v>
      </c>
      <c r="E50" s="4" t="s">
        <v>1591</v>
      </c>
      <c r="F50" s="4" t="s">
        <v>1563</v>
      </c>
      <c r="G50" s="4" t="s">
        <v>1564</v>
      </c>
      <c r="H50" s="4" t="s">
        <v>1488</v>
      </c>
      <c r="I50" s="4" t="s">
        <v>1490</v>
      </c>
      <c r="J50" s="4"/>
      <c r="K50" s="4"/>
      <c r="L50" s="4"/>
      <c r="M50" s="4"/>
      <c r="N50" s="4"/>
    </row>
    <row r="51" spans="1:14" ht="36" x14ac:dyDescent="0.35">
      <c r="A51" s="4" t="s">
        <v>1549</v>
      </c>
      <c r="B51" s="4">
        <v>2</v>
      </c>
      <c r="C51" s="4" t="s">
        <v>1565</v>
      </c>
      <c r="D51" s="4" t="s">
        <v>8</v>
      </c>
      <c r="E51" s="4" t="s">
        <v>1592</v>
      </c>
      <c r="F51" s="4" t="s">
        <v>1567</v>
      </c>
      <c r="G51" s="4" t="s">
        <v>1568</v>
      </c>
      <c r="H51" s="4" t="s">
        <v>1569</v>
      </c>
      <c r="I51" s="4" t="s">
        <v>1570</v>
      </c>
      <c r="J51" s="4"/>
      <c r="K51" s="4"/>
      <c r="L51" s="4"/>
      <c r="M51" s="4"/>
      <c r="N51" s="4"/>
    </row>
    <row r="52" spans="1:14" ht="24" x14ac:dyDescent="0.35">
      <c r="A52" s="4" t="s">
        <v>1549</v>
      </c>
      <c r="B52" s="4">
        <v>3</v>
      </c>
      <c r="C52" s="4" t="s">
        <v>1593</v>
      </c>
      <c r="D52" s="4" t="s">
        <v>15</v>
      </c>
      <c r="E52" s="4" t="s">
        <v>1594</v>
      </c>
      <c r="F52" s="4" t="s">
        <v>1573</v>
      </c>
      <c r="G52" s="4" t="s">
        <v>1595</v>
      </c>
      <c r="H52" s="4" t="s">
        <v>1596</v>
      </c>
      <c r="I52" s="4" t="s">
        <v>1570</v>
      </c>
      <c r="J52" s="4"/>
      <c r="K52" s="4"/>
      <c r="L52" s="4"/>
      <c r="M52" s="4"/>
      <c r="N52" s="4"/>
    </row>
    <row r="53" spans="1:14" ht="36" x14ac:dyDescent="0.35">
      <c r="A53" s="4" t="s">
        <v>1549</v>
      </c>
      <c r="B53" s="4">
        <v>4</v>
      </c>
      <c r="C53" s="4" t="s">
        <v>1576</v>
      </c>
      <c r="D53" s="4" t="s">
        <v>1577</v>
      </c>
      <c r="E53" s="4" t="s">
        <v>1594</v>
      </c>
      <c r="F53" s="4" t="s">
        <v>1579</v>
      </c>
      <c r="G53" s="4" t="s">
        <v>1580</v>
      </c>
      <c r="H53" s="4" t="s">
        <v>1581</v>
      </c>
      <c r="I53" s="4" t="s">
        <v>1582</v>
      </c>
      <c r="J53" s="4"/>
      <c r="K53" s="4"/>
      <c r="L53" s="4"/>
      <c r="M53" s="4"/>
      <c r="N53" s="4"/>
    </row>
    <row r="54" spans="1:14" ht="24" x14ac:dyDescent="0.35">
      <c r="A54" s="4" t="s">
        <v>1549</v>
      </c>
      <c r="B54" s="4">
        <v>5</v>
      </c>
      <c r="C54" s="4" t="s">
        <v>1583</v>
      </c>
      <c r="D54" s="4" t="s">
        <v>7</v>
      </c>
      <c r="E54" s="4" t="s">
        <v>1597</v>
      </c>
      <c r="F54" s="4" t="s">
        <v>1585</v>
      </c>
      <c r="G54" s="4" t="s">
        <v>1586</v>
      </c>
      <c r="H54" s="4" t="s">
        <v>1587</v>
      </c>
      <c r="I54" s="4" t="s">
        <v>1582</v>
      </c>
      <c r="J54" s="4"/>
      <c r="K54" s="4"/>
      <c r="L54" s="4"/>
      <c r="M54" s="4"/>
      <c r="N54" s="4"/>
    </row>
    <row r="55" spans="1:14" ht="48" x14ac:dyDescent="0.35">
      <c r="A55" s="4" t="s">
        <v>1550</v>
      </c>
      <c r="B55" s="4">
        <v>1</v>
      </c>
      <c r="C55" s="4" t="s">
        <v>1561</v>
      </c>
      <c r="D55" s="4" t="s">
        <v>9</v>
      </c>
      <c r="E55" s="4" t="s">
        <v>1598</v>
      </c>
      <c r="F55" s="4" t="s">
        <v>1563</v>
      </c>
      <c r="G55" s="4" t="s">
        <v>1564</v>
      </c>
      <c r="H55" s="4" t="s">
        <v>1488</v>
      </c>
      <c r="I55" s="4" t="s">
        <v>1490</v>
      </c>
      <c r="J55" s="4"/>
      <c r="K55" s="4"/>
      <c r="L55" s="4"/>
      <c r="M55" s="4"/>
      <c r="N55" s="4"/>
    </row>
    <row r="56" spans="1:14" ht="36" x14ac:dyDescent="0.35">
      <c r="A56" s="4" t="s">
        <v>1550</v>
      </c>
      <c r="B56" s="4">
        <v>2</v>
      </c>
      <c r="C56" s="4" t="s">
        <v>1565</v>
      </c>
      <c r="D56" s="4" t="s">
        <v>8</v>
      </c>
      <c r="E56" s="4" t="s">
        <v>1599</v>
      </c>
      <c r="F56" s="4" t="s">
        <v>1567</v>
      </c>
      <c r="G56" s="4" t="s">
        <v>1568</v>
      </c>
      <c r="H56" s="4" t="s">
        <v>1569</v>
      </c>
      <c r="I56" s="4" t="s">
        <v>1570</v>
      </c>
      <c r="J56" s="4"/>
      <c r="K56" s="4"/>
      <c r="L56" s="4"/>
      <c r="M56" s="4"/>
      <c r="N56" s="4"/>
    </row>
    <row r="57" spans="1:14" ht="24" x14ac:dyDescent="0.35">
      <c r="A57" s="4" t="s">
        <v>1550</v>
      </c>
      <c r="B57" s="4">
        <v>3</v>
      </c>
      <c r="C57" s="4" t="s">
        <v>1593</v>
      </c>
      <c r="D57" s="4" t="s">
        <v>15</v>
      </c>
      <c r="E57" s="4" t="s">
        <v>1600</v>
      </c>
      <c r="F57" s="4" t="s">
        <v>1573</v>
      </c>
      <c r="G57" s="4" t="s">
        <v>1595</v>
      </c>
      <c r="H57" s="4" t="s">
        <v>1596</v>
      </c>
      <c r="I57" s="4" t="s">
        <v>1570</v>
      </c>
      <c r="J57" s="4"/>
      <c r="K57" s="4"/>
      <c r="L57" s="4"/>
      <c r="M57" s="4"/>
      <c r="N57" s="4"/>
    </row>
    <row r="58" spans="1:14" ht="36" x14ac:dyDescent="0.35">
      <c r="A58" s="4" t="s">
        <v>1550</v>
      </c>
      <c r="B58" s="4">
        <v>4</v>
      </c>
      <c r="C58" s="4" t="s">
        <v>1576</v>
      </c>
      <c r="D58" s="4" t="s">
        <v>1577</v>
      </c>
      <c r="E58" s="4" t="s">
        <v>1601</v>
      </c>
      <c r="F58" s="4" t="s">
        <v>1579</v>
      </c>
      <c r="G58" s="4" t="s">
        <v>1580</v>
      </c>
      <c r="H58" s="4" t="s">
        <v>1581</v>
      </c>
      <c r="I58" s="4" t="s">
        <v>1582</v>
      </c>
      <c r="J58" s="4"/>
      <c r="K58" s="4"/>
      <c r="L58" s="4"/>
      <c r="M58" s="4"/>
      <c r="N58" s="4"/>
    </row>
    <row r="59" spans="1:14" ht="24" x14ac:dyDescent="0.35">
      <c r="A59" s="4" t="s">
        <v>1550</v>
      </c>
      <c r="B59" s="4">
        <v>5</v>
      </c>
      <c r="C59" s="4" t="s">
        <v>1583</v>
      </c>
      <c r="D59" s="4" t="s">
        <v>7</v>
      </c>
      <c r="E59" s="4" t="s">
        <v>1597</v>
      </c>
      <c r="F59" s="4" t="s">
        <v>1585</v>
      </c>
      <c r="G59" s="4" t="s">
        <v>1586</v>
      </c>
      <c r="H59" s="4" t="s">
        <v>1587</v>
      </c>
      <c r="I59" s="4" t="s">
        <v>1582</v>
      </c>
      <c r="J59" s="4"/>
      <c r="K59" s="4"/>
      <c r="L59" s="4"/>
      <c r="M59" s="4"/>
      <c r="N59" s="4"/>
    </row>
    <row r="60" spans="1:14" ht="48" x14ac:dyDescent="0.35">
      <c r="A60" s="4" t="s">
        <v>1551</v>
      </c>
      <c r="B60" s="4">
        <v>1</v>
      </c>
      <c r="C60" s="4" t="s">
        <v>1561</v>
      </c>
      <c r="D60" s="4" t="s">
        <v>9</v>
      </c>
      <c r="E60" s="4" t="s">
        <v>1602</v>
      </c>
      <c r="F60" s="4" t="s">
        <v>1563</v>
      </c>
      <c r="G60" s="4" t="s">
        <v>1564</v>
      </c>
      <c r="H60" s="4" t="s">
        <v>1488</v>
      </c>
      <c r="I60" s="4" t="s">
        <v>1490</v>
      </c>
      <c r="J60" s="4"/>
      <c r="K60" s="4"/>
      <c r="L60" s="4"/>
      <c r="M60" s="4"/>
      <c r="N60" s="4"/>
    </row>
    <row r="61" spans="1:14" ht="36" x14ac:dyDescent="0.35">
      <c r="A61" s="4" t="s">
        <v>1551</v>
      </c>
      <c r="B61" s="4">
        <v>2</v>
      </c>
      <c r="C61" s="4" t="s">
        <v>1565</v>
      </c>
      <c r="D61" s="4" t="s">
        <v>8</v>
      </c>
      <c r="E61" s="4" t="s">
        <v>1603</v>
      </c>
      <c r="F61" s="4" t="s">
        <v>1567</v>
      </c>
      <c r="G61" s="4" t="s">
        <v>1568</v>
      </c>
      <c r="H61" s="4" t="s">
        <v>1569</v>
      </c>
      <c r="I61" s="4" t="s">
        <v>1570</v>
      </c>
      <c r="J61" s="4"/>
      <c r="K61" s="4"/>
      <c r="L61" s="4"/>
      <c r="M61" s="4"/>
      <c r="N61" s="4"/>
    </row>
    <row r="62" spans="1:14" ht="24" x14ac:dyDescent="0.35">
      <c r="A62" s="4" t="s">
        <v>1551</v>
      </c>
      <c r="B62" s="4">
        <v>3</v>
      </c>
      <c r="C62" s="4" t="s">
        <v>1593</v>
      </c>
      <c r="D62" s="4" t="s">
        <v>15</v>
      </c>
      <c r="E62" s="4" t="s">
        <v>1604</v>
      </c>
      <c r="F62" s="4" t="s">
        <v>1573</v>
      </c>
      <c r="G62" s="4" t="s">
        <v>1595</v>
      </c>
      <c r="H62" s="4" t="s">
        <v>1596</v>
      </c>
      <c r="I62" s="4" t="s">
        <v>1570</v>
      </c>
      <c r="J62" s="4"/>
      <c r="K62" s="4"/>
      <c r="L62" s="4"/>
      <c r="M62" s="4"/>
      <c r="N62" s="4"/>
    </row>
    <row r="63" spans="1:14" ht="36" x14ac:dyDescent="0.35">
      <c r="A63" s="4" t="s">
        <v>1551</v>
      </c>
      <c r="B63" s="4">
        <v>4</v>
      </c>
      <c r="C63" s="4" t="s">
        <v>1576</v>
      </c>
      <c r="D63" s="4" t="s">
        <v>1577</v>
      </c>
      <c r="E63" s="4" t="s">
        <v>1604</v>
      </c>
      <c r="F63" s="4" t="s">
        <v>1579</v>
      </c>
      <c r="G63" s="4" t="s">
        <v>1580</v>
      </c>
      <c r="H63" s="4" t="s">
        <v>1581</v>
      </c>
      <c r="I63" s="4" t="s">
        <v>1582</v>
      </c>
      <c r="J63" s="4"/>
      <c r="K63" s="4"/>
      <c r="L63" s="4"/>
      <c r="M63" s="4"/>
      <c r="N63" s="4"/>
    </row>
    <row r="64" spans="1:14" ht="24" x14ac:dyDescent="0.35">
      <c r="A64" s="4" t="s">
        <v>1551</v>
      </c>
      <c r="B64" s="4">
        <v>5</v>
      </c>
      <c r="C64" s="4" t="s">
        <v>1583</v>
      </c>
      <c r="D64" s="4" t="s">
        <v>7</v>
      </c>
      <c r="E64" s="4" t="s">
        <v>1584</v>
      </c>
      <c r="F64" s="4" t="s">
        <v>1585</v>
      </c>
      <c r="G64" s="4" t="s">
        <v>1586</v>
      </c>
      <c r="H64" s="4" t="s">
        <v>1587</v>
      </c>
      <c r="I64" s="4" t="s">
        <v>1582</v>
      </c>
      <c r="J64" s="4"/>
      <c r="K64" s="4"/>
      <c r="L64" s="4"/>
      <c r="M64" s="4"/>
      <c r="N64" s="4"/>
    </row>
    <row r="65" spans="1:14" ht="48" x14ac:dyDescent="0.35">
      <c r="A65" s="4" t="s">
        <v>1552</v>
      </c>
      <c r="B65" s="4">
        <v>1</v>
      </c>
      <c r="C65" s="4" t="s">
        <v>1561</v>
      </c>
      <c r="D65" s="4" t="s">
        <v>9</v>
      </c>
      <c r="E65" s="4" t="s">
        <v>1605</v>
      </c>
      <c r="F65" s="4" t="s">
        <v>1563</v>
      </c>
      <c r="G65" s="4" t="s">
        <v>1564</v>
      </c>
      <c r="H65" s="4" t="s">
        <v>1488</v>
      </c>
      <c r="I65" s="4" t="s">
        <v>1490</v>
      </c>
      <c r="J65" s="4"/>
      <c r="K65" s="4"/>
      <c r="L65" s="4"/>
      <c r="M65" s="4"/>
      <c r="N65" s="4"/>
    </row>
    <row r="66" spans="1:14" ht="36" x14ac:dyDescent="0.35">
      <c r="A66" s="4" t="s">
        <v>1552</v>
      </c>
      <c r="B66" s="4">
        <v>2</v>
      </c>
      <c r="C66" s="4" t="s">
        <v>1565</v>
      </c>
      <c r="D66" s="4" t="s">
        <v>8</v>
      </c>
      <c r="E66" s="4" t="s">
        <v>1606</v>
      </c>
      <c r="F66" s="4" t="s">
        <v>1567</v>
      </c>
      <c r="G66" s="4" t="s">
        <v>1568</v>
      </c>
      <c r="H66" s="4" t="s">
        <v>1569</v>
      </c>
      <c r="I66" s="4" t="s">
        <v>1570</v>
      </c>
      <c r="J66" s="4"/>
      <c r="K66" s="4"/>
      <c r="L66" s="4"/>
      <c r="M66" s="4"/>
      <c r="N66" s="4"/>
    </row>
    <row r="67" spans="1:14" ht="24" x14ac:dyDescent="0.35">
      <c r="A67" s="4" t="s">
        <v>1552</v>
      </c>
      <c r="B67" s="4">
        <v>3</v>
      </c>
      <c r="C67" s="4" t="s">
        <v>1593</v>
      </c>
      <c r="D67" s="4" t="s">
        <v>15</v>
      </c>
      <c r="E67" s="4" t="s">
        <v>1604</v>
      </c>
      <c r="F67" s="4" t="s">
        <v>1573</v>
      </c>
      <c r="G67" s="4" t="s">
        <v>1595</v>
      </c>
      <c r="H67" s="4" t="s">
        <v>1596</v>
      </c>
      <c r="I67" s="4" t="s">
        <v>1570</v>
      </c>
      <c r="J67" s="4"/>
      <c r="K67" s="4"/>
      <c r="L67" s="4"/>
      <c r="M67" s="4"/>
      <c r="N67" s="4"/>
    </row>
    <row r="68" spans="1:14" ht="36" x14ac:dyDescent="0.35">
      <c r="A68" s="4" t="s">
        <v>1552</v>
      </c>
      <c r="B68" s="4">
        <v>4</v>
      </c>
      <c r="C68" s="4" t="s">
        <v>1576</v>
      </c>
      <c r="D68" s="4" t="s">
        <v>1577</v>
      </c>
      <c r="E68" s="4" t="s">
        <v>1604</v>
      </c>
      <c r="F68" s="4" t="s">
        <v>1579</v>
      </c>
      <c r="G68" s="4" t="s">
        <v>1580</v>
      </c>
      <c r="H68" s="4" t="s">
        <v>1581</v>
      </c>
      <c r="I68" s="4" t="s">
        <v>1582</v>
      </c>
      <c r="J68" s="4"/>
      <c r="K68" s="4"/>
      <c r="L68" s="4"/>
      <c r="M68" s="4"/>
      <c r="N68" s="4"/>
    </row>
    <row r="69" spans="1:14" ht="24" x14ac:dyDescent="0.35">
      <c r="A69" s="4" t="s">
        <v>1552</v>
      </c>
      <c r="B69" s="4">
        <v>5</v>
      </c>
      <c r="C69" s="4" t="s">
        <v>1583</v>
      </c>
      <c r="D69" s="4" t="s">
        <v>7</v>
      </c>
      <c r="E69" s="4" t="s">
        <v>1597</v>
      </c>
      <c r="F69" s="4" t="s">
        <v>1585</v>
      </c>
      <c r="G69" s="4" t="s">
        <v>1586</v>
      </c>
      <c r="H69" s="4" t="s">
        <v>1587</v>
      </c>
      <c r="I69" s="4" t="s">
        <v>1582</v>
      </c>
      <c r="J69" s="4"/>
      <c r="K69" s="4"/>
      <c r="L69" s="4"/>
      <c r="M69" s="4"/>
      <c r="N69" s="4"/>
    </row>
    <row r="70" spans="1:14" ht="48" x14ac:dyDescent="0.35">
      <c r="A70" s="4" t="s">
        <v>1553</v>
      </c>
      <c r="B70" s="4">
        <v>1</v>
      </c>
      <c r="C70" s="4" t="s">
        <v>1561</v>
      </c>
      <c r="D70" s="4" t="s">
        <v>9</v>
      </c>
      <c r="E70" s="4" t="s">
        <v>1607</v>
      </c>
      <c r="F70" s="4" t="s">
        <v>1563</v>
      </c>
      <c r="G70" s="4" t="s">
        <v>1564</v>
      </c>
      <c r="H70" s="4" t="s">
        <v>1488</v>
      </c>
      <c r="I70" s="4" t="s">
        <v>1490</v>
      </c>
      <c r="J70" s="4"/>
      <c r="K70" s="4"/>
      <c r="L70" s="4"/>
      <c r="M70" s="4"/>
      <c r="N70" s="4"/>
    </row>
    <row r="71" spans="1:14" ht="36" x14ac:dyDescent="0.35">
      <c r="A71" s="4" t="s">
        <v>1553</v>
      </c>
      <c r="B71" s="4">
        <v>2</v>
      </c>
      <c r="C71" s="4" t="s">
        <v>1565</v>
      </c>
      <c r="D71" s="4" t="s">
        <v>8</v>
      </c>
      <c r="E71" s="4" t="s">
        <v>1608</v>
      </c>
      <c r="F71" s="4" t="s">
        <v>1567</v>
      </c>
      <c r="G71" s="4" t="s">
        <v>1568</v>
      </c>
      <c r="H71" s="4" t="s">
        <v>1569</v>
      </c>
      <c r="I71" s="4" t="s">
        <v>1570</v>
      </c>
      <c r="J71" s="4"/>
      <c r="K71" s="4"/>
      <c r="L71" s="4"/>
      <c r="M71" s="4"/>
      <c r="N71" s="4"/>
    </row>
    <row r="72" spans="1:14" ht="24" x14ac:dyDescent="0.35">
      <c r="A72" s="4" t="s">
        <v>1553</v>
      </c>
      <c r="B72" s="4">
        <v>3</v>
      </c>
      <c r="C72" s="4" t="s">
        <v>1593</v>
      </c>
      <c r="D72" s="4" t="s">
        <v>15</v>
      </c>
      <c r="E72" s="4" t="s">
        <v>1604</v>
      </c>
      <c r="F72" s="4" t="s">
        <v>1573</v>
      </c>
      <c r="G72" s="4" t="s">
        <v>1595</v>
      </c>
      <c r="H72" s="4" t="s">
        <v>1596</v>
      </c>
      <c r="I72" s="4" t="s">
        <v>1570</v>
      </c>
      <c r="J72" s="4"/>
      <c r="K72" s="4"/>
      <c r="L72" s="4"/>
      <c r="M72" s="4"/>
      <c r="N72" s="4"/>
    </row>
    <row r="73" spans="1:14" ht="36" x14ac:dyDescent="0.35">
      <c r="A73" s="4" t="s">
        <v>1553</v>
      </c>
      <c r="B73" s="4">
        <v>4</v>
      </c>
      <c r="C73" s="4" t="s">
        <v>1576</v>
      </c>
      <c r="D73" s="4" t="s">
        <v>1577</v>
      </c>
      <c r="E73" s="4" t="s">
        <v>1590</v>
      </c>
      <c r="F73" s="4" t="s">
        <v>1579</v>
      </c>
      <c r="G73" s="4" t="s">
        <v>1580</v>
      </c>
      <c r="H73" s="4" t="s">
        <v>1581</v>
      </c>
      <c r="I73" s="4" t="s">
        <v>1582</v>
      </c>
      <c r="J73" s="4"/>
      <c r="K73" s="4"/>
      <c r="L73" s="4"/>
      <c r="M73" s="4"/>
      <c r="N73" s="4"/>
    </row>
    <row r="74" spans="1:14" ht="24" x14ac:dyDescent="0.35">
      <c r="A74" s="4" t="s">
        <v>1553</v>
      </c>
      <c r="B74" s="4">
        <v>5</v>
      </c>
      <c r="C74" s="4" t="s">
        <v>1583</v>
      </c>
      <c r="D74" s="4" t="s">
        <v>7</v>
      </c>
      <c r="E74" s="4" t="s">
        <v>1597</v>
      </c>
      <c r="F74" s="4" t="s">
        <v>1585</v>
      </c>
      <c r="G74" s="4" t="s">
        <v>1586</v>
      </c>
      <c r="H74" s="4" t="s">
        <v>1587</v>
      </c>
      <c r="I74" s="4" t="s">
        <v>1582</v>
      </c>
      <c r="J74" s="4"/>
      <c r="K74" s="4"/>
      <c r="L74" s="4"/>
      <c r="M74" s="4"/>
      <c r="N74" s="4"/>
    </row>
    <row r="75" spans="1:14" x14ac:dyDescent="0.35">
      <c r="A75" s="6"/>
      <c r="B75" s="6"/>
      <c r="C75" s="6"/>
      <c r="D75" s="6"/>
      <c r="E75" s="6"/>
      <c r="F75" s="6"/>
      <c r="G75" s="6"/>
      <c r="H75" s="6"/>
      <c r="I75" s="6"/>
      <c r="J75" s="6"/>
      <c r="K75" s="6"/>
      <c r="L75" s="6"/>
      <c r="M75" s="6"/>
      <c r="N75" s="6"/>
    </row>
    <row r="76" spans="1:14" ht="16.5" thickBot="1" x14ac:dyDescent="0.4">
      <c r="A76" s="24" t="s">
        <v>1609</v>
      </c>
      <c r="B76" s="24"/>
      <c r="C76" s="24"/>
      <c r="D76" s="24"/>
      <c r="E76" s="24"/>
      <c r="F76" s="24"/>
      <c r="G76" s="24"/>
      <c r="H76" s="24"/>
      <c r="I76" s="24"/>
      <c r="J76" s="24"/>
      <c r="K76" s="24"/>
      <c r="L76" s="25"/>
      <c r="M76" s="25"/>
      <c r="N76" s="25"/>
    </row>
    <row r="77" spans="1:14" ht="36" x14ac:dyDescent="0.35">
      <c r="A77" s="9" t="s">
        <v>1534</v>
      </c>
      <c r="B77" s="9" t="s">
        <v>8</v>
      </c>
      <c r="C77" s="9" t="s">
        <v>10</v>
      </c>
      <c r="D77" s="9" t="s">
        <v>7</v>
      </c>
      <c r="E77" s="9" t="s">
        <v>9</v>
      </c>
      <c r="F77" s="9" t="s">
        <v>1610</v>
      </c>
      <c r="G77" s="9" t="s">
        <v>1611</v>
      </c>
      <c r="H77" s="9" t="s">
        <v>1612</v>
      </c>
      <c r="I77" s="9" t="s">
        <v>1545</v>
      </c>
      <c r="J77" s="9" t="s">
        <v>1560</v>
      </c>
      <c r="K77" s="9" t="s">
        <v>1546</v>
      </c>
      <c r="L77" s="8"/>
      <c r="M77" s="7"/>
      <c r="N77" s="7"/>
    </row>
    <row r="78" spans="1:14" ht="60" x14ac:dyDescent="0.35">
      <c r="A78" s="7" t="s">
        <v>1547</v>
      </c>
      <c r="B78" s="10" t="str">
        <f>'pampers-en_us'!C77</f>
        <v>Pampers_Cruisers</v>
      </c>
      <c r="C78" s="10" t="str">
        <f>'pampers-en_us'!E77</f>
        <v>Pampers® Cruisers™</v>
      </c>
      <c r="D78" s="10" t="str">
        <f>'pampers-en_us'!B77</f>
        <v>Pampers</v>
      </c>
      <c r="E78" s="10" t="str">
        <f>'pampers-en_us'!D77</f>
        <v>Inactive</v>
      </c>
      <c r="F78" s="18">
        <f>'pampers-en_us'!M77</f>
        <v>10022</v>
      </c>
      <c r="G78" s="18">
        <f>'pampers-en_us'!M77</f>
        <v>10022</v>
      </c>
      <c r="H78" s="7" t="s">
        <v>1613</v>
      </c>
      <c r="I78" s="7" t="s">
        <v>1480</v>
      </c>
      <c r="J78" s="7" t="s">
        <v>1614</v>
      </c>
      <c r="K78" s="7" t="s">
        <v>1490</v>
      </c>
      <c r="L78" s="4"/>
      <c r="M78" s="4"/>
      <c r="N78" s="4"/>
    </row>
    <row r="79" spans="1:14" ht="60" x14ac:dyDescent="0.35">
      <c r="A79" s="4" t="s">
        <v>1547</v>
      </c>
      <c r="B79" s="5" t="str">
        <f>'pampers-en_us'!C64</f>
        <v>Pampers_Diapers_Swaddlers_Sensitive</v>
      </c>
      <c r="C79" s="5" t="str">
        <f>'pampers-en_us'!E64</f>
        <v>Pampers® Swaddlers Sensitive™</v>
      </c>
      <c r="D79" s="5" t="str">
        <f>'pampers-en_us'!B64</f>
        <v>Pampers</v>
      </c>
      <c r="E79" s="5" t="str">
        <f>'pampers-en_us'!D64</f>
        <v>Inactive</v>
      </c>
      <c r="F79" s="17">
        <f>'pampers-en_us'!M64</f>
        <v>5152</v>
      </c>
      <c r="G79" s="17">
        <f>'pampers-en_us'!M64</f>
        <v>5152</v>
      </c>
      <c r="H79" s="4" t="s">
        <v>1613</v>
      </c>
      <c r="I79" s="4" t="s">
        <v>1480</v>
      </c>
      <c r="J79" s="4" t="s">
        <v>1614</v>
      </c>
      <c r="K79" s="4" t="s">
        <v>1490</v>
      </c>
      <c r="L79" s="4"/>
      <c r="M79" s="4"/>
      <c r="N79" s="4"/>
    </row>
    <row r="80" spans="1:14" ht="60" x14ac:dyDescent="0.35">
      <c r="A80" s="4" t="s">
        <v>1550</v>
      </c>
      <c r="B80" s="5" t="str">
        <f>'pampers-de_de'!C22</f>
        <v>711155922-DE</v>
      </c>
      <c r="C80" s="5" t="str">
        <f>'pampers-de_de'!E22</f>
        <v>Pampers® Premium Protection™ New Baby</v>
      </c>
      <c r="D80" s="5" t="str">
        <f>'pampers-de_de'!B22</f>
        <v>Pampers</v>
      </c>
      <c r="E80" s="5" t="str">
        <f>'pampers-de_de'!D22</f>
        <v>Inactive</v>
      </c>
      <c r="F80" s="17">
        <f>'pampers-de_de'!M22</f>
        <v>2821</v>
      </c>
      <c r="G80" s="17">
        <f>'pampers-de_de'!M22</f>
        <v>2821</v>
      </c>
      <c r="H80" s="4" t="s">
        <v>1613</v>
      </c>
      <c r="I80" s="4" t="s">
        <v>1480</v>
      </c>
      <c r="J80" s="4" t="s">
        <v>1614</v>
      </c>
      <c r="K80" s="4" t="s">
        <v>1490</v>
      </c>
      <c r="L80" s="4"/>
      <c r="M80" s="4"/>
      <c r="N80" s="4"/>
    </row>
    <row r="81" spans="1:14" ht="60" x14ac:dyDescent="0.35">
      <c r="A81" s="4" t="s">
        <v>1547</v>
      </c>
      <c r="B81" s="5" t="str">
        <f>'pampers-en_us'!C48</f>
        <v>761042423</v>
      </c>
      <c r="C81" s="5" t="str">
        <f>'pampers-en_us'!E48</f>
        <v>Pampers Easy Ups Training Underwear for Girls</v>
      </c>
      <c r="D81" s="5" t="str">
        <f>'pampers-en_us'!B48</f>
        <v>Pampers</v>
      </c>
      <c r="E81" s="5" t="str">
        <f>'pampers-en_us'!D48</f>
        <v>Inactive</v>
      </c>
      <c r="F81" s="17">
        <f>'pampers-en_us'!M48</f>
        <v>2770</v>
      </c>
      <c r="G81" s="17">
        <f>'pampers-en_us'!M48</f>
        <v>2770</v>
      </c>
      <c r="H81" s="4" t="s">
        <v>1613</v>
      </c>
      <c r="I81" s="4" t="s">
        <v>1480</v>
      </c>
      <c r="J81" s="4" t="s">
        <v>1614</v>
      </c>
      <c r="K81" s="4" t="s">
        <v>1490</v>
      </c>
      <c r="L81" s="4"/>
      <c r="M81" s="4"/>
      <c r="N81" s="4"/>
    </row>
    <row r="82" spans="1:14" ht="60" x14ac:dyDescent="0.35">
      <c r="A82" s="4" t="s">
        <v>1547</v>
      </c>
      <c r="B82" s="5" t="str">
        <f>'pampers-en_us'!C83</f>
        <v>SwaddlersUltra</v>
      </c>
      <c r="C82" s="5" t="str">
        <f>'pampers-en_us'!E83</f>
        <v>Pampers Swaddlers Ultra Day + Night</v>
      </c>
      <c r="D82" s="5" t="str">
        <f>'pampers-en_us'!B83</f>
        <v>Pampers</v>
      </c>
      <c r="E82" s="5" t="str">
        <f>'pampers-en_us'!D83</f>
        <v>Inactive</v>
      </c>
      <c r="F82" s="17">
        <f>'pampers-en_us'!M83</f>
        <v>2711</v>
      </c>
      <c r="G82" s="17">
        <f>'pampers-en_us'!M83</f>
        <v>2711</v>
      </c>
      <c r="H82" s="4" t="s">
        <v>1613</v>
      </c>
      <c r="I82" s="4" t="s">
        <v>1480</v>
      </c>
      <c r="J82" s="4" t="s">
        <v>1614</v>
      </c>
      <c r="K82" s="4" t="s">
        <v>1490</v>
      </c>
      <c r="L82" s="4"/>
      <c r="M82" s="4"/>
      <c r="N82" s="4"/>
    </row>
    <row r="83" spans="1:14" ht="60" x14ac:dyDescent="0.35">
      <c r="A83" s="4" t="s">
        <v>1547</v>
      </c>
      <c r="B83" s="5" t="str">
        <f>'pampers-en_us'!C44</f>
        <v>761057122</v>
      </c>
      <c r="C83" s="5" t="str">
        <f>'pampers-en_us'!E44</f>
        <v>Pampers® Complete Clean™ Unscented</v>
      </c>
      <c r="D83" s="5" t="str">
        <f>'pampers-en_us'!B44</f>
        <v>Pampers</v>
      </c>
      <c r="E83" s="5" t="str">
        <f>'pampers-en_us'!D44</f>
        <v>Inactive</v>
      </c>
      <c r="F83" s="17">
        <f>'pampers-en_us'!M44</f>
        <v>2677</v>
      </c>
      <c r="G83" s="17">
        <f>'pampers-en_us'!M44</f>
        <v>2677</v>
      </c>
      <c r="H83" s="4" t="s">
        <v>1613</v>
      </c>
      <c r="I83" s="4" t="s">
        <v>1480</v>
      </c>
      <c r="J83" s="4" t="s">
        <v>1614</v>
      </c>
      <c r="K83" s="4" t="s">
        <v>1490</v>
      </c>
      <c r="L83" s="4"/>
      <c r="M83" s="4"/>
      <c r="N83" s="4"/>
    </row>
    <row r="84" spans="1:14" ht="60" x14ac:dyDescent="0.35">
      <c r="A84" s="4" t="s">
        <v>1550</v>
      </c>
      <c r="B84" s="5" t="str">
        <f>'pampers-de_de'!C37</f>
        <v>711155943-DE</v>
      </c>
      <c r="C84" s="5" t="str">
        <f>'pampers-de_de'!E37</f>
        <v>Pampers Baby-Dry</v>
      </c>
      <c r="D84" s="5" t="str">
        <f>'pampers-de_de'!B37</f>
        <v>Pampers</v>
      </c>
      <c r="E84" s="5" t="str">
        <f>'pampers-de_de'!D37</f>
        <v>Inactive</v>
      </c>
      <c r="F84" s="17">
        <f>'pampers-de_de'!M37</f>
        <v>2555</v>
      </c>
      <c r="G84" s="17">
        <f>'pampers-de_de'!M37</f>
        <v>2555</v>
      </c>
      <c r="H84" s="4" t="s">
        <v>1615</v>
      </c>
      <c r="I84" s="4" t="s">
        <v>1480</v>
      </c>
      <c r="J84" s="4" t="s">
        <v>1614</v>
      </c>
      <c r="K84" s="4" t="s">
        <v>1490</v>
      </c>
      <c r="L84" s="4"/>
      <c r="M84" s="4"/>
      <c r="N84" s="4"/>
    </row>
    <row r="85" spans="1:14" ht="60" x14ac:dyDescent="0.35">
      <c r="A85" s="4" t="s">
        <v>1547</v>
      </c>
      <c r="B85" s="5" t="str">
        <f>'pampers-en_us'!C92</f>
        <v>761042421</v>
      </c>
      <c r="C85" s="5" t="str">
        <f>'pampers-en_us'!E92</f>
        <v>Pampers Baby Dry Extra Protection</v>
      </c>
      <c r="D85" s="5" t="str">
        <f>'pampers-en_us'!B92</f>
        <v>Pampers</v>
      </c>
      <c r="E85" s="5" t="str">
        <f>'pampers-en_us'!D92</f>
        <v>Inactive</v>
      </c>
      <c r="F85" s="17">
        <f>'pampers-en_us'!M92</f>
        <v>2320</v>
      </c>
      <c r="G85" s="17">
        <f>'pampers-en_us'!M92</f>
        <v>2320</v>
      </c>
      <c r="H85" s="4" t="s">
        <v>1613</v>
      </c>
      <c r="I85" s="4" t="s">
        <v>1480</v>
      </c>
      <c r="J85" s="4" t="s">
        <v>1614</v>
      </c>
      <c r="K85" s="4" t="s">
        <v>1490</v>
      </c>
      <c r="L85" s="4"/>
      <c r="M85" s="4"/>
      <c r="N85" s="4"/>
    </row>
    <row r="86" spans="1:14" ht="60" x14ac:dyDescent="0.35">
      <c r="A86" s="4" t="s">
        <v>1552</v>
      </c>
      <c r="B86" s="5" t="str">
        <f>pgdodotspain!C12</f>
        <v>2120000</v>
      </c>
      <c r="C86" s="5" t="str">
        <f>pgdodotspain!E12</f>
        <v>TOALLITAS Dodot® Sensitive</v>
      </c>
      <c r="D86" s="5" t="str">
        <f>pgdodotspain!B12</f>
        <v>Pampers</v>
      </c>
      <c r="E86" s="5" t="str">
        <f>pgdodotspain!D12</f>
        <v>Inactive</v>
      </c>
      <c r="F86" s="17">
        <f>pgdodotspain!M12</f>
        <v>1926</v>
      </c>
      <c r="G86" s="17">
        <f>pgdodotspain!M12</f>
        <v>1926</v>
      </c>
      <c r="H86" s="4" t="s">
        <v>1613</v>
      </c>
      <c r="I86" s="4" t="s">
        <v>1480</v>
      </c>
      <c r="J86" s="4" t="s">
        <v>1614</v>
      </c>
      <c r="K86" s="4" t="s">
        <v>1490</v>
      </c>
      <c r="L86" s="4"/>
      <c r="M86" s="4"/>
      <c r="N86" s="4"/>
    </row>
    <row r="87" spans="1:14" ht="60" x14ac:dyDescent="0.35">
      <c r="A87" s="4" t="s">
        <v>1551</v>
      </c>
      <c r="B87" s="5" t="str">
        <f>'pampers-fr_fr'!C62</f>
        <v>FR-14</v>
      </c>
      <c r="C87" s="5" t="str">
        <f>'pampers-fr_fr'!E62</f>
        <v>Pampers® Baby-Dry Pants™</v>
      </c>
      <c r="D87" s="5" t="str">
        <f>'pampers-fr_fr'!B62</f>
        <v>Pampers</v>
      </c>
      <c r="E87" s="5" t="str">
        <f>'pampers-fr_fr'!D62</f>
        <v>Inactive</v>
      </c>
      <c r="F87" s="17">
        <f>'pampers-fr_fr'!M62</f>
        <v>1924</v>
      </c>
      <c r="G87" s="17">
        <f>'pampers-fr_fr'!M62</f>
        <v>1924</v>
      </c>
      <c r="H87" s="4" t="s">
        <v>1616</v>
      </c>
      <c r="I87" s="4" t="s">
        <v>1480</v>
      </c>
      <c r="J87" s="4" t="s">
        <v>1614</v>
      </c>
      <c r="K87" s="4" t="s">
        <v>1490</v>
      </c>
      <c r="L87" s="4"/>
      <c r="M87" s="4"/>
      <c r="N87" s="4"/>
    </row>
    <row r="88" spans="1:14" ht="60" x14ac:dyDescent="0.35">
      <c r="A88" s="4" t="s">
        <v>1552</v>
      </c>
      <c r="B88" s="5" t="str">
        <f>pgdodotspain!C15</f>
        <v>2160000</v>
      </c>
      <c r="C88" s="5" t="str">
        <f>pgdodotspain!E15</f>
        <v>PAÑALES Dodot® Bebé-Seco</v>
      </c>
      <c r="D88" s="5" t="str">
        <f>pgdodotspain!B15</f>
        <v>Pampers</v>
      </c>
      <c r="E88" s="5" t="str">
        <f>pgdodotspain!D15</f>
        <v>Inactive</v>
      </c>
      <c r="F88" s="17">
        <f>pgdodotspain!M15</f>
        <v>1296</v>
      </c>
      <c r="G88" s="17">
        <f>pgdodotspain!M15</f>
        <v>1296</v>
      </c>
      <c r="H88" s="4" t="s">
        <v>1613</v>
      </c>
      <c r="I88" s="4" t="s">
        <v>1480</v>
      </c>
      <c r="J88" s="4" t="s">
        <v>1614</v>
      </c>
      <c r="K88" s="4" t="s">
        <v>1490</v>
      </c>
      <c r="L88" s="4"/>
      <c r="M88" s="4"/>
      <c r="N88" s="4"/>
    </row>
    <row r="89" spans="1:14" ht="60" x14ac:dyDescent="0.35">
      <c r="A89" s="4" t="s">
        <v>1552</v>
      </c>
      <c r="B89" s="5" t="str">
        <f>pgdodotspain!C21</f>
        <v>2180000</v>
      </c>
      <c r="C89" s="5" t="str">
        <f>pgdodotspain!E21</f>
        <v>PAÑALES Dodot® Sensitive</v>
      </c>
      <c r="D89" s="5" t="str">
        <f>pgdodotspain!B21</f>
        <v>Pampers</v>
      </c>
      <c r="E89" s="5" t="str">
        <f>pgdodotspain!D21</f>
        <v>Inactive</v>
      </c>
      <c r="F89" s="17">
        <f>pgdodotspain!M21</f>
        <v>1229</v>
      </c>
      <c r="G89" s="17">
        <f>pgdodotspain!M21</f>
        <v>1229</v>
      </c>
      <c r="H89" s="4" t="s">
        <v>1613</v>
      </c>
      <c r="I89" s="4" t="s">
        <v>1480</v>
      </c>
      <c r="J89" s="4" t="s">
        <v>1614</v>
      </c>
      <c r="K89" s="4" t="s">
        <v>1490</v>
      </c>
      <c r="L89" s="4"/>
      <c r="M89" s="4"/>
      <c r="N89" s="4"/>
    </row>
    <row r="90" spans="1:14" ht="60" x14ac:dyDescent="0.35">
      <c r="A90" s="4" t="s">
        <v>1551</v>
      </c>
      <c r="B90" s="5" t="str">
        <f>'pampers-fr_fr'!C77</f>
        <v>75</v>
      </c>
      <c r="C90" s="5" t="str">
        <f>'pampers-fr_fr'!E77</f>
        <v>Pampers Baby-Dry</v>
      </c>
      <c r="D90" s="5" t="str">
        <f>'pampers-fr_fr'!B77</f>
        <v>Pampers</v>
      </c>
      <c r="E90" s="5" t="str">
        <f>'pampers-fr_fr'!D77</f>
        <v>Inactive</v>
      </c>
      <c r="F90" s="17">
        <f>'pampers-fr_fr'!M77</f>
        <v>1101</v>
      </c>
      <c r="G90" s="17">
        <f>'pampers-fr_fr'!M77</f>
        <v>1101</v>
      </c>
      <c r="H90" s="4" t="s">
        <v>1613</v>
      </c>
      <c r="I90" s="4" t="s">
        <v>1480</v>
      </c>
      <c r="J90" s="4" t="s">
        <v>1614</v>
      </c>
      <c r="K90" s="4" t="s">
        <v>1490</v>
      </c>
      <c r="L90" s="4"/>
      <c r="M90" s="4"/>
      <c r="N90" s="4"/>
    </row>
    <row r="91" spans="1:14" ht="60" x14ac:dyDescent="0.35">
      <c r="A91" s="4" t="s">
        <v>1547</v>
      </c>
      <c r="B91" s="5" t="str">
        <f>'pampers-en_us'!C63</f>
        <v>80859348</v>
      </c>
      <c r="C91" s="5" t="str">
        <f>'pampers-en_us'!E63</f>
        <v>Pampers Ultra Clean</v>
      </c>
      <c r="D91" s="5" t="str">
        <f>'pampers-en_us'!B63</f>
        <v>Pampers</v>
      </c>
      <c r="E91" s="5" t="str">
        <f>'pampers-en_us'!D63</f>
        <v>Inactive</v>
      </c>
      <c r="F91" s="17">
        <f>'pampers-en_us'!M63</f>
        <v>1054</v>
      </c>
      <c r="G91" s="17">
        <f>'pampers-en_us'!M63</f>
        <v>1054</v>
      </c>
      <c r="H91" s="4" t="s">
        <v>1613</v>
      </c>
      <c r="I91" s="4" t="s">
        <v>1480</v>
      </c>
      <c r="J91" s="4" t="s">
        <v>1614</v>
      </c>
      <c r="K91" s="4" t="s">
        <v>1490</v>
      </c>
      <c r="L91" s="4"/>
      <c r="M91" s="4"/>
      <c r="N91" s="4"/>
    </row>
    <row r="92" spans="1:14" ht="60" x14ac:dyDescent="0.35">
      <c r="A92" s="4" t="s">
        <v>1550</v>
      </c>
      <c r="B92" s="5" t="str">
        <f>'pampers-de_de'!C21</f>
        <v>19-DE</v>
      </c>
      <c r="C92" s="5" t="str">
        <f>'pampers-de_de'!E21</f>
        <v>FEUCHTTÜCHER   Pampers® New Baby Sensitive™ Feuchttücher</v>
      </c>
      <c r="D92" s="5" t="str">
        <f>'pampers-de_de'!B21</f>
        <v>Pampers</v>
      </c>
      <c r="E92" s="5" t="str">
        <f>'pampers-de_de'!D21</f>
        <v>Inactive</v>
      </c>
      <c r="F92" s="17">
        <f>'pampers-de_de'!M21</f>
        <v>1004</v>
      </c>
      <c r="G92" s="17">
        <f>'pampers-de_de'!M21</f>
        <v>1004</v>
      </c>
      <c r="H92" s="4" t="s">
        <v>1613</v>
      </c>
      <c r="I92" s="4" t="s">
        <v>1480</v>
      </c>
      <c r="J92" s="4" t="s">
        <v>1614</v>
      </c>
      <c r="K92" s="4" t="s">
        <v>1490</v>
      </c>
      <c r="L92" s="4"/>
      <c r="M92" s="4"/>
      <c r="N92" s="4"/>
    </row>
    <row r="93" spans="1:14" ht="60" x14ac:dyDescent="0.35">
      <c r="A93" s="4" t="s">
        <v>1551</v>
      </c>
      <c r="B93" s="5" t="str">
        <f>'pampers-fr_fr'!C76</f>
        <v>2-FR</v>
      </c>
      <c r="C93" s="5" t="str">
        <f>'pampers-fr_fr'!E76</f>
        <v>Pampers New Baby</v>
      </c>
      <c r="D93" s="5" t="str">
        <f>'pampers-fr_fr'!B76</f>
        <v>Pampers</v>
      </c>
      <c r="E93" s="5" t="str">
        <f>'pampers-fr_fr'!D76</f>
        <v>Inactive</v>
      </c>
      <c r="F93" s="17">
        <f>'pampers-fr_fr'!M76</f>
        <v>962</v>
      </c>
      <c r="G93" s="17">
        <f>'pampers-fr_fr'!M76</f>
        <v>962</v>
      </c>
      <c r="H93" s="4" t="s">
        <v>1613</v>
      </c>
      <c r="I93" s="4" t="s">
        <v>1480</v>
      </c>
      <c r="J93" s="4" t="s">
        <v>1614</v>
      </c>
      <c r="K93" s="4" t="s">
        <v>1490</v>
      </c>
      <c r="L93" s="4"/>
      <c r="M93" s="4"/>
      <c r="N93" s="4"/>
    </row>
    <row r="94" spans="1:14" ht="60" x14ac:dyDescent="0.35">
      <c r="A94" s="4" t="s">
        <v>1550</v>
      </c>
      <c r="B94" s="5" t="str">
        <f>'pampers-de_de'!C36</f>
        <v>711155941-DE</v>
      </c>
      <c r="C94" s="5" t="str">
        <f>'pampers-de_de'!E36</f>
        <v>Pampers Active Fit</v>
      </c>
      <c r="D94" s="5" t="str">
        <f>'pampers-de_de'!B36</f>
        <v>Pampers</v>
      </c>
      <c r="E94" s="5" t="str">
        <f>'pampers-de_de'!D36</f>
        <v>Inactive</v>
      </c>
      <c r="F94" s="17">
        <f>'pampers-de_de'!M36</f>
        <v>850</v>
      </c>
      <c r="G94" s="17">
        <f>'pampers-de_de'!M36</f>
        <v>850</v>
      </c>
      <c r="H94" s="4" t="s">
        <v>1613</v>
      </c>
      <c r="I94" s="4" t="s">
        <v>1480</v>
      </c>
      <c r="J94" s="4" t="s">
        <v>1614</v>
      </c>
      <c r="K94" s="4" t="s">
        <v>1490</v>
      </c>
      <c r="L94" s="4"/>
      <c r="M94" s="4"/>
      <c r="N94" s="4"/>
    </row>
    <row r="95" spans="1:14" ht="60" x14ac:dyDescent="0.35">
      <c r="A95" s="4" t="s">
        <v>1547</v>
      </c>
      <c r="B95" s="5" t="str">
        <f>'pampers-en_us'!C14</f>
        <v>761042387</v>
      </c>
      <c r="C95" s="5" t="str">
        <f>'pampers-en_us'!E14</f>
        <v>Kandoo Flushable Toilet Wipes</v>
      </c>
      <c r="D95" s="5" t="str">
        <f>'pampers-en_us'!B14</f>
        <v>Pampers</v>
      </c>
      <c r="E95" s="5" t="str">
        <f>'pampers-en_us'!D14</f>
        <v>Inactive</v>
      </c>
      <c r="F95" s="17">
        <f>'pampers-en_us'!M14</f>
        <v>807</v>
      </c>
      <c r="G95" s="17">
        <f>'pampers-en_us'!M14</f>
        <v>807</v>
      </c>
      <c r="H95" s="4" t="s">
        <v>1613</v>
      </c>
      <c r="I95" s="4" t="s">
        <v>1480</v>
      </c>
      <c r="J95" s="4" t="s">
        <v>1614</v>
      </c>
      <c r="K95" s="4" t="s">
        <v>1490</v>
      </c>
      <c r="L95" s="4"/>
      <c r="M95" s="4"/>
      <c r="N95" s="4"/>
    </row>
    <row r="96" spans="1:14" ht="60" x14ac:dyDescent="0.35">
      <c r="A96" s="4" t="s">
        <v>1551</v>
      </c>
      <c r="B96" s="5" t="str">
        <f>'pampers-fr_fr'!C39</f>
        <v>FR-af2</v>
      </c>
      <c r="C96" s="5" t="str">
        <f>'pampers-fr_fr'!E39</f>
        <v>COUCHES   Pampers Premium Protection Active Fit</v>
      </c>
      <c r="D96" s="5" t="str">
        <f>'pampers-fr_fr'!B39</f>
        <v>Pampers</v>
      </c>
      <c r="E96" s="5" t="str">
        <f>'pampers-fr_fr'!D39</f>
        <v>Inactive</v>
      </c>
      <c r="F96" s="17">
        <f>'pampers-fr_fr'!M39</f>
        <v>796</v>
      </c>
      <c r="G96" s="17">
        <f>'pampers-fr_fr'!M39</f>
        <v>796</v>
      </c>
      <c r="H96" s="4" t="s">
        <v>1613</v>
      </c>
      <c r="I96" s="4" t="s">
        <v>1480</v>
      </c>
      <c r="J96" s="4" t="s">
        <v>1614</v>
      </c>
      <c r="K96" s="4" t="s">
        <v>1490</v>
      </c>
      <c r="L96" s="4"/>
      <c r="M96" s="4"/>
      <c r="N96" s="4"/>
    </row>
    <row r="97" spans="1:14" ht="60" x14ac:dyDescent="0.35">
      <c r="A97" s="4" t="s">
        <v>1547</v>
      </c>
      <c r="B97" s="5" t="str">
        <f>'pampers-en_us'!C70</f>
        <v>pampers-expressions-wipes</v>
      </c>
      <c r="C97" s="5" t="str">
        <f>'pampers-en_us'!E70</f>
        <v>Pampers® Expressions Wipes</v>
      </c>
      <c r="D97" s="5" t="str">
        <f>'pampers-en_us'!B70</f>
        <v>Pampers</v>
      </c>
      <c r="E97" s="5" t="str">
        <f>'pampers-en_us'!D70</f>
        <v>Inactive</v>
      </c>
      <c r="F97" s="17">
        <f>'pampers-en_us'!M70</f>
        <v>792</v>
      </c>
      <c r="G97" s="17">
        <f>'pampers-en_us'!M70</f>
        <v>792</v>
      </c>
      <c r="H97" s="4" t="s">
        <v>1613</v>
      </c>
      <c r="I97" s="4" t="s">
        <v>1480</v>
      </c>
      <c r="J97" s="4" t="s">
        <v>1614</v>
      </c>
      <c r="K97" s="4" t="s">
        <v>1490</v>
      </c>
      <c r="L97" s="4"/>
      <c r="M97" s="4"/>
      <c r="N97" s="4"/>
    </row>
    <row r="98" spans="1:14" ht="60" x14ac:dyDescent="0.35">
      <c r="A98" s="4" t="s">
        <v>1553</v>
      </c>
      <c r="B98" s="5" t="str">
        <f>'pampers-ja_jp'!C30</f>
        <v>Pampers_LeadingEdge_Star</v>
      </c>
      <c r="C98" s="5" t="str">
        <f>'pampers-ja_jp'!E30</f>
        <v>パンパースのはじめての肌へのいちばん（テープ）</v>
      </c>
      <c r="D98" s="5" t="str">
        <f>'pampers-ja_jp'!B30</f>
        <v>Pampers</v>
      </c>
      <c r="E98" s="5" t="str">
        <f>'pampers-ja_jp'!D30</f>
        <v>Inactive</v>
      </c>
      <c r="F98" s="17">
        <f>'pampers-ja_jp'!M30</f>
        <v>727</v>
      </c>
      <c r="G98" s="17">
        <f>'pampers-ja_jp'!M30</f>
        <v>727</v>
      </c>
      <c r="H98" s="4" t="s">
        <v>1613</v>
      </c>
      <c r="I98" s="4" t="s">
        <v>1480</v>
      </c>
      <c r="J98" s="4" t="s">
        <v>1614</v>
      </c>
      <c r="K98" s="4" t="s">
        <v>1490</v>
      </c>
      <c r="L98" s="4"/>
      <c r="M98" s="4"/>
      <c r="N98" s="4"/>
    </row>
    <row r="99" spans="1:14" ht="60" x14ac:dyDescent="0.35">
      <c r="A99" s="4" t="s">
        <v>1552</v>
      </c>
      <c r="B99" s="5" t="str">
        <f>pgdodotspain!C13</f>
        <v>2140000</v>
      </c>
      <c r="C99" s="5" t="str">
        <f>pgdodotspain!E13</f>
        <v>TOALLITAS Dodot® Activity</v>
      </c>
      <c r="D99" s="5" t="str">
        <f>pgdodotspain!B13</f>
        <v>Pampers</v>
      </c>
      <c r="E99" s="5" t="str">
        <f>pgdodotspain!D13</f>
        <v>Inactive</v>
      </c>
      <c r="F99" s="17">
        <f>pgdodotspain!M13</f>
        <v>685</v>
      </c>
      <c r="G99" s="17">
        <f>pgdodotspain!M13</f>
        <v>685</v>
      </c>
      <c r="H99" s="4" t="s">
        <v>1613</v>
      </c>
      <c r="I99" s="4" t="s">
        <v>1480</v>
      </c>
      <c r="J99" s="4" t="s">
        <v>1614</v>
      </c>
      <c r="K99" s="4" t="s">
        <v>1490</v>
      </c>
      <c r="L99" s="4"/>
      <c r="M99" s="4"/>
      <c r="N99" s="4"/>
    </row>
    <row r="100" spans="1:14" ht="60" x14ac:dyDescent="0.35">
      <c r="A100" s="4" t="s">
        <v>1547</v>
      </c>
      <c r="B100" s="5" t="str">
        <f>'pampers-en_us'!C88</f>
        <v>761043742</v>
      </c>
      <c r="C100" s="5" t="str">
        <f>'pampers-en_us'!E88</f>
        <v>Pampers® Underjams™</v>
      </c>
      <c r="D100" s="5" t="str">
        <f>'pampers-en_us'!B88</f>
        <v>Pampers</v>
      </c>
      <c r="E100" s="5" t="str">
        <f>'pampers-en_us'!D88</f>
        <v>Inactive</v>
      </c>
      <c r="F100" s="17">
        <f>'pampers-en_us'!M88</f>
        <v>580</v>
      </c>
      <c r="G100" s="17">
        <f>'pampers-en_us'!M88</f>
        <v>580</v>
      </c>
      <c r="H100" s="4" t="s">
        <v>1613</v>
      </c>
      <c r="I100" s="4" t="s">
        <v>1480</v>
      </c>
      <c r="J100" s="4" t="s">
        <v>1614</v>
      </c>
      <c r="K100" s="4" t="s">
        <v>1490</v>
      </c>
      <c r="L100" s="4"/>
      <c r="M100" s="4"/>
      <c r="N100" s="4"/>
    </row>
    <row r="101" spans="1:14" ht="60" x14ac:dyDescent="0.35">
      <c r="A101" s="4" t="s">
        <v>1548</v>
      </c>
      <c r="B101" s="5" t="str">
        <f>'pampers-es'!C36</f>
        <v>261044222</v>
      </c>
      <c r="C101" s="5" t="str">
        <f>'pampers-es'!E36</f>
        <v>Pampers® Swaddlers™</v>
      </c>
      <c r="D101" s="5" t="str">
        <f>'pampers-es'!B36</f>
        <v>Pampers</v>
      </c>
      <c r="E101" s="5" t="str">
        <f>'pampers-es'!D36</f>
        <v>Inactive</v>
      </c>
      <c r="F101" s="17">
        <f>'pampers-es'!M36</f>
        <v>549</v>
      </c>
      <c r="G101" s="17">
        <f>'pampers-es'!M36</f>
        <v>549</v>
      </c>
      <c r="H101" s="4" t="s">
        <v>1613</v>
      </c>
      <c r="I101" s="4" t="s">
        <v>1480</v>
      </c>
      <c r="J101" s="4" t="s">
        <v>1614</v>
      </c>
      <c r="K101" s="4" t="s">
        <v>1490</v>
      </c>
      <c r="L101" s="4"/>
      <c r="M101" s="4"/>
      <c r="N101" s="4"/>
    </row>
    <row r="102" spans="1:14" ht="60" x14ac:dyDescent="0.35">
      <c r="A102" s="4" t="s">
        <v>1547</v>
      </c>
      <c r="B102" s="5" t="str">
        <f>'pampers-en_us'!C39</f>
        <v>761044192</v>
      </c>
      <c r="C102" s="5" t="str">
        <f>'pampers-en_us'!E39</f>
        <v>Kandoo Handsoap, Body Wash and Shampoo</v>
      </c>
      <c r="D102" s="5" t="str">
        <f>'pampers-en_us'!B39</f>
        <v>Pampers</v>
      </c>
      <c r="E102" s="5" t="str">
        <f>'pampers-en_us'!D39</f>
        <v>Inactive</v>
      </c>
      <c r="F102" s="17">
        <f>'pampers-en_us'!M39</f>
        <v>542</v>
      </c>
      <c r="G102" s="17">
        <f>'pampers-en_us'!M39</f>
        <v>542</v>
      </c>
      <c r="H102" s="4" t="s">
        <v>1613</v>
      </c>
      <c r="I102" s="4" t="s">
        <v>1480</v>
      </c>
      <c r="J102" s="4" t="s">
        <v>1614</v>
      </c>
      <c r="K102" s="4" t="s">
        <v>1490</v>
      </c>
      <c r="L102" s="4"/>
      <c r="M102" s="4"/>
      <c r="N102" s="4"/>
    </row>
    <row r="103" spans="1:14" ht="60" x14ac:dyDescent="0.35">
      <c r="A103" s="4" t="s">
        <v>1550</v>
      </c>
      <c r="B103" s="5" t="str">
        <f>'pampers-de_de'!C26</f>
        <v>Pampers_Active_Fit_2</v>
      </c>
      <c r="C103" s="5" t="str">
        <f>'pampers-de_de'!E26</f>
        <v>WINDELN Pampers Premium Protection Active Fit</v>
      </c>
      <c r="D103" s="5" t="str">
        <f>'pampers-de_de'!B26</f>
        <v>Pampers</v>
      </c>
      <c r="E103" s="5" t="str">
        <f>'pampers-de_de'!D26</f>
        <v>Inactive</v>
      </c>
      <c r="F103" s="17">
        <f>'pampers-de_de'!M26</f>
        <v>535</v>
      </c>
      <c r="G103" s="17">
        <f>'pampers-de_de'!M26</f>
        <v>535</v>
      </c>
      <c r="H103" s="4" t="s">
        <v>1613</v>
      </c>
      <c r="I103" s="4" t="s">
        <v>1480</v>
      </c>
      <c r="J103" s="4" t="s">
        <v>1614</v>
      </c>
      <c r="K103" s="4" t="s">
        <v>1490</v>
      </c>
      <c r="L103" s="4"/>
      <c r="M103" s="4"/>
      <c r="N103" s="4"/>
    </row>
    <row r="104" spans="1:14" ht="60" x14ac:dyDescent="0.35">
      <c r="A104" s="4" t="s">
        <v>1551</v>
      </c>
      <c r="B104" s="5" t="str">
        <f>'pampers-fr_fr'!C32</f>
        <v>NBPP-FRFR</v>
      </c>
      <c r="C104" s="5" t="str">
        <f>'pampers-fr_fr'!E32</f>
        <v>COUCHES Pampers Premium Protection</v>
      </c>
      <c r="D104" s="5" t="str">
        <f>'pampers-fr_fr'!B32</f>
        <v>Pampers</v>
      </c>
      <c r="E104" s="5" t="str">
        <f>'pampers-fr_fr'!D32</f>
        <v>Inactive</v>
      </c>
      <c r="F104" s="17">
        <f>'pampers-fr_fr'!M32</f>
        <v>532</v>
      </c>
      <c r="G104" s="17">
        <f>'pampers-fr_fr'!M32</f>
        <v>532</v>
      </c>
      <c r="H104" s="4" t="s">
        <v>1613</v>
      </c>
      <c r="I104" s="4" t="s">
        <v>1480</v>
      </c>
      <c r="J104" s="4" t="s">
        <v>1614</v>
      </c>
      <c r="K104" s="4" t="s">
        <v>1490</v>
      </c>
      <c r="L104" s="4"/>
      <c r="M104" s="4"/>
      <c r="N104" s="4"/>
    </row>
    <row r="105" spans="1:14" ht="60" x14ac:dyDescent="0.35">
      <c r="A105" s="4" t="s">
        <v>1547</v>
      </c>
      <c r="B105" s="5" t="str">
        <f>'pampers-en_us'!C62</f>
        <v>761042441</v>
      </c>
      <c r="C105" s="5" t="str">
        <f>'pampers-en_us'!E62</f>
        <v>Pampers UnderJams Absorbent Night Wear for Girls</v>
      </c>
      <c r="D105" s="5" t="str">
        <f>'pampers-en_us'!B62</f>
        <v>Pampers</v>
      </c>
      <c r="E105" s="5" t="str">
        <f>'pampers-en_us'!D62</f>
        <v>Inactive</v>
      </c>
      <c r="F105" s="17">
        <f>'pampers-en_us'!M62</f>
        <v>501</v>
      </c>
      <c r="G105" s="17">
        <f>'pampers-en_us'!M62</f>
        <v>501</v>
      </c>
      <c r="H105" s="4" t="s">
        <v>1613</v>
      </c>
      <c r="I105" s="4" t="s">
        <v>1480</v>
      </c>
      <c r="J105" s="4" t="s">
        <v>1614</v>
      </c>
      <c r="K105" s="4" t="s">
        <v>1490</v>
      </c>
      <c r="L105" s="4"/>
      <c r="M105" s="4"/>
      <c r="N105" s="4"/>
    </row>
    <row r="106" spans="1:14" ht="60" x14ac:dyDescent="0.35">
      <c r="A106" s="4" t="s">
        <v>1547</v>
      </c>
      <c r="B106" s="5" t="str">
        <f>'pampers-en_us'!C57</f>
        <v>Pampers_Swaddlers_Sweet_Dreams</v>
      </c>
      <c r="C106" s="5" t="str">
        <f>'pampers-en_us'!E57</f>
        <v>Pampers® Swaddlers Sweet Dreams</v>
      </c>
      <c r="D106" s="5" t="str">
        <f>'pampers-en_us'!B57</f>
        <v>Pampers</v>
      </c>
      <c r="E106" s="5" t="str">
        <f>'pampers-en_us'!D57</f>
        <v>Inactive</v>
      </c>
      <c r="F106" s="17">
        <f>'pampers-en_us'!M57</f>
        <v>494</v>
      </c>
      <c r="G106" s="17">
        <f>'pampers-en_us'!M57</f>
        <v>494</v>
      </c>
      <c r="H106" s="4" t="s">
        <v>1613</v>
      </c>
      <c r="I106" s="4" t="s">
        <v>1480</v>
      </c>
      <c r="J106" s="4" t="s">
        <v>1614</v>
      </c>
      <c r="K106" s="4" t="s">
        <v>1490</v>
      </c>
      <c r="L106" s="4"/>
      <c r="M106" s="4"/>
      <c r="N106" s="4"/>
    </row>
    <row r="107" spans="1:14" ht="60" x14ac:dyDescent="0.35">
      <c r="A107" s="4" t="s">
        <v>1552</v>
      </c>
      <c r="B107" s="5" t="str">
        <f>pgdodotspain!C24</f>
        <v>2150000</v>
      </c>
      <c r="C107" s="5" t="str">
        <f>pgdodotspain!E24</f>
        <v>PAÑALES Dodot® Activity</v>
      </c>
      <c r="D107" s="5" t="str">
        <f>pgdodotspain!B24</f>
        <v>Pampers</v>
      </c>
      <c r="E107" s="5" t="str">
        <f>pgdodotspain!D24</f>
        <v>Inactive</v>
      </c>
      <c r="F107" s="17">
        <f>pgdodotspain!M24</f>
        <v>474</v>
      </c>
      <c r="G107" s="17">
        <f>pgdodotspain!M24</f>
        <v>474</v>
      </c>
      <c r="H107" s="4" t="s">
        <v>1613</v>
      </c>
      <c r="I107" s="4" t="s">
        <v>1480</v>
      </c>
      <c r="J107" s="4" t="s">
        <v>1614</v>
      </c>
      <c r="K107" s="4" t="s">
        <v>1490</v>
      </c>
      <c r="L107" s="4"/>
      <c r="M107" s="4"/>
      <c r="N107" s="4"/>
    </row>
    <row r="108" spans="1:14" ht="60" x14ac:dyDescent="0.35">
      <c r="A108" s="4" t="s">
        <v>1553</v>
      </c>
      <c r="B108" s="5" t="str">
        <f>'pampers-ja_jp'!C35</f>
        <v>pampers_main_line_pants</v>
      </c>
      <c r="C108" s="5" t="str">
        <f>'pampers-ja_jp'!E35</f>
        <v>さらさらケアパンツ Mたっち～XXL</v>
      </c>
      <c r="D108" s="5" t="str">
        <f>'pampers-ja_jp'!B35</f>
        <v>Pampers</v>
      </c>
      <c r="E108" s="5" t="str">
        <f>'pampers-ja_jp'!D35</f>
        <v>Inactive</v>
      </c>
      <c r="F108" s="17">
        <f>'pampers-ja_jp'!M35</f>
        <v>449</v>
      </c>
      <c r="G108" s="17">
        <f>'pampers-ja_jp'!M35</f>
        <v>449</v>
      </c>
      <c r="H108" s="4" t="s">
        <v>1613</v>
      </c>
      <c r="I108" s="4" t="s">
        <v>1480</v>
      </c>
      <c r="J108" s="4" t="s">
        <v>1614</v>
      </c>
      <c r="K108" s="4" t="s">
        <v>1490</v>
      </c>
      <c r="L108" s="4"/>
      <c r="M108" s="4"/>
      <c r="N108" s="4"/>
    </row>
    <row r="109" spans="1:14" ht="60" x14ac:dyDescent="0.35">
      <c r="A109" s="4" t="s">
        <v>1549</v>
      </c>
      <c r="B109" s="5" t="str">
        <f>'pampers-en_gb'!C11</f>
        <v>PAMPERS_PREMIUM_PROTECTION</v>
      </c>
      <c r="C109" s="5" t="str">
        <f>'pampers-en_gb'!E11</f>
        <v>NAPPIES Pampers Premium Protection</v>
      </c>
      <c r="D109" s="5" t="str">
        <f>'pampers-en_gb'!B11</f>
        <v>Pampers</v>
      </c>
      <c r="E109" s="5" t="str">
        <f>'pampers-en_gb'!D11</f>
        <v>Inactive</v>
      </c>
      <c r="F109" s="17">
        <f>'pampers-en_gb'!M11</f>
        <v>435</v>
      </c>
      <c r="G109" s="17">
        <f>'pampers-en_gb'!M11</f>
        <v>435</v>
      </c>
      <c r="H109" s="4" t="s">
        <v>1613</v>
      </c>
      <c r="I109" s="4" t="s">
        <v>1480</v>
      </c>
      <c r="J109" s="4" t="s">
        <v>1614</v>
      </c>
      <c r="K109" s="4" t="s">
        <v>1490</v>
      </c>
      <c r="L109" s="4"/>
      <c r="M109" s="4"/>
      <c r="N109" s="4"/>
    </row>
    <row r="110" spans="1:14" ht="60" x14ac:dyDescent="0.35">
      <c r="A110" s="4" t="s">
        <v>1549</v>
      </c>
      <c r="B110" s="5" t="str">
        <f>'pampers-en_gb'!C35</f>
        <v>Aqua_Pure_Wipes</v>
      </c>
      <c r="C110" s="5" t="str">
        <f>'pampers-en_gb'!E35</f>
        <v>Pampers® Aqua Pure™</v>
      </c>
      <c r="D110" s="5" t="str">
        <f>'pampers-en_gb'!B35</f>
        <v>Pampers</v>
      </c>
      <c r="E110" s="5" t="str">
        <f>'pampers-en_gb'!D35</f>
        <v>Inactive</v>
      </c>
      <c r="F110" s="17">
        <f>'pampers-en_gb'!M35</f>
        <v>433</v>
      </c>
      <c r="G110" s="17">
        <f>'pampers-en_gb'!M35</f>
        <v>433</v>
      </c>
      <c r="H110" s="4" t="s">
        <v>1613</v>
      </c>
      <c r="I110" s="4" t="s">
        <v>1480</v>
      </c>
      <c r="J110" s="4" t="s">
        <v>1614</v>
      </c>
      <c r="K110" s="4" t="s">
        <v>1490</v>
      </c>
      <c r="L110" s="4"/>
      <c r="M110" s="4"/>
      <c r="N110" s="4"/>
    </row>
    <row r="111" spans="1:14" ht="60" x14ac:dyDescent="0.35">
      <c r="A111" s="4" t="s">
        <v>1551</v>
      </c>
      <c r="B111" s="5" t="str">
        <f>'pampers-fr_fr'!C23</f>
        <v>active-fit-pants-FR</v>
      </c>
      <c r="C111" s="5" t="str">
        <f>'pampers-fr_fr'!E23</f>
        <v>COUCHES-CULOTTES Pampers Active Fit Pants</v>
      </c>
      <c r="D111" s="5" t="str">
        <f>'pampers-fr_fr'!B23</f>
        <v>Pampers</v>
      </c>
      <c r="E111" s="5" t="str">
        <f>'pampers-fr_fr'!D23</f>
        <v>Inactive</v>
      </c>
      <c r="F111" s="17">
        <f>'pampers-fr_fr'!M23</f>
        <v>433</v>
      </c>
      <c r="G111" s="17">
        <f>'pampers-fr_fr'!M23</f>
        <v>433</v>
      </c>
      <c r="H111" s="4" t="s">
        <v>1613</v>
      </c>
      <c r="I111" s="4" t="s">
        <v>1480</v>
      </c>
      <c r="J111" s="4" t="s">
        <v>1614</v>
      </c>
      <c r="K111" s="4" t="s">
        <v>1490</v>
      </c>
      <c r="L111" s="4"/>
      <c r="M111" s="4"/>
      <c r="N111" s="4"/>
    </row>
    <row r="112" spans="1:14" ht="60" x14ac:dyDescent="0.35">
      <c r="A112" s="4" t="s">
        <v>1547</v>
      </c>
      <c r="B112" s="5" t="str">
        <f>'pampers-en_us'!C27</f>
        <v>10900827</v>
      </c>
      <c r="C112" s="5" t="str">
        <f>'pampers-en_us'!E27</f>
        <v>Pampers® Cruisers diapers</v>
      </c>
      <c r="D112" s="5" t="str">
        <f>'pampers-en_us'!B27</f>
        <v>Pampers</v>
      </c>
      <c r="E112" s="5" t="str">
        <f>'pampers-en_us'!D27</f>
        <v>Inactive</v>
      </c>
      <c r="F112" s="17">
        <f>'pampers-en_us'!M27</f>
        <v>394</v>
      </c>
      <c r="G112" s="17">
        <f>'pampers-en_us'!M27</f>
        <v>394</v>
      </c>
      <c r="H112" s="4" t="s">
        <v>1613</v>
      </c>
      <c r="I112" s="4" t="s">
        <v>1480</v>
      </c>
      <c r="J112" s="4" t="s">
        <v>1614</v>
      </c>
      <c r="K112" s="4" t="s">
        <v>1490</v>
      </c>
      <c r="L112" s="4"/>
      <c r="M112" s="4"/>
      <c r="N112" s="4"/>
    </row>
    <row r="113" spans="1:14" ht="60" x14ac:dyDescent="0.35">
      <c r="A113" s="4" t="s">
        <v>1550</v>
      </c>
      <c r="B113" s="5" t="str">
        <f>'pampers-de_de'!C18</f>
        <v>PAMPERS_NEW_BABY_SENSITIVE</v>
      </c>
      <c r="C113" s="5" t="str">
        <f>'pampers-de_de'!E18</f>
        <v>Pampers New Baby Sensitive</v>
      </c>
      <c r="D113" s="5" t="str">
        <f>'pampers-de_de'!B18</f>
        <v>Pampers</v>
      </c>
      <c r="E113" s="5" t="str">
        <f>'pampers-de_de'!D18</f>
        <v>Inactive</v>
      </c>
      <c r="F113" s="17">
        <f>'pampers-de_de'!M18</f>
        <v>373</v>
      </c>
      <c r="G113" s="17">
        <f>'pampers-de_de'!M18</f>
        <v>373</v>
      </c>
      <c r="H113" s="4" t="s">
        <v>1613</v>
      </c>
      <c r="I113" s="4" t="s">
        <v>1480</v>
      </c>
      <c r="J113" s="4" t="s">
        <v>1614</v>
      </c>
      <c r="K113" s="4" t="s">
        <v>1490</v>
      </c>
      <c r="L113" s="4"/>
      <c r="M113" s="4"/>
      <c r="N113" s="4"/>
    </row>
    <row r="114" spans="1:14" ht="60" x14ac:dyDescent="0.35">
      <c r="A114" s="4" t="s">
        <v>1553</v>
      </c>
      <c r="B114" s="5" t="str">
        <f>'pampers-ja_jp'!C36</f>
        <v>Pampers_LeadingEdgePants_Star</v>
      </c>
      <c r="C114" s="5" t="str">
        <f>'pampers-ja_jp'!E36</f>
        <v>パンパースの肌へのいちばん（パンツ）</v>
      </c>
      <c r="D114" s="5" t="str">
        <f>'pampers-ja_jp'!B36</f>
        <v>Pampers</v>
      </c>
      <c r="E114" s="5" t="str">
        <f>'pampers-ja_jp'!D36</f>
        <v>Inactive</v>
      </c>
      <c r="F114" s="17">
        <f>'pampers-ja_jp'!M36</f>
        <v>356</v>
      </c>
      <c r="G114" s="17">
        <f>'pampers-ja_jp'!M36</f>
        <v>356</v>
      </c>
      <c r="H114" s="4" t="s">
        <v>1613</v>
      </c>
      <c r="I114" s="4" t="s">
        <v>1480</v>
      </c>
      <c r="J114" s="4" t="s">
        <v>1614</v>
      </c>
      <c r="K114" s="4" t="s">
        <v>1490</v>
      </c>
      <c r="L114" s="4"/>
      <c r="M114" s="4"/>
      <c r="N114" s="4"/>
    </row>
    <row r="115" spans="1:14" ht="60" x14ac:dyDescent="0.35">
      <c r="A115" s="4" t="s">
        <v>1550</v>
      </c>
      <c r="B115" s="5" t="str">
        <f>'pampers-de_de'!C34</f>
        <v>711155944-DE</v>
      </c>
      <c r="C115" s="5" t="str">
        <f>'pampers-de_de'!E34</f>
        <v>Pampers Simply Dry</v>
      </c>
      <c r="D115" s="5" t="str">
        <f>'pampers-de_de'!B34</f>
        <v>Pampers</v>
      </c>
      <c r="E115" s="5" t="str">
        <f>'pampers-de_de'!D34</f>
        <v>Inactive</v>
      </c>
      <c r="F115" s="17">
        <f>'pampers-de_de'!M34</f>
        <v>344</v>
      </c>
      <c r="G115" s="17">
        <f>'pampers-de_de'!M34</f>
        <v>344</v>
      </c>
      <c r="H115" s="4" t="s">
        <v>1613</v>
      </c>
      <c r="I115" s="4" t="s">
        <v>1480</v>
      </c>
      <c r="J115" s="4" t="s">
        <v>1614</v>
      </c>
      <c r="K115" s="4" t="s">
        <v>1490</v>
      </c>
      <c r="L115" s="4"/>
      <c r="M115" s="4"/>
      <c r="N115" s="4"/>
    </row>
    <row r="116" spans="1:14" ht="60" x14ac:dyDescent="0.35">
      <c r="A116" s="4" t="s">
        <v>1553</v>
      </c>
      <c r="B116" s="5" t="str">
        <f>'pampers-ja_jp'!C20</f>
        <v>4902430148887</v>
      </c>
      <c r="C116" s="5" t="str">
        <f>'pampers-ja_jp'!E20</f>
        <v>パンパース さらさらパンツ</v>
      </c>
      <c r="D116" s="5" t="str">
        <f>'pampers-ja_jp'!B20</f>
        <v>Pampers</v>
      </c>
      <c r="E116" s="5" t="str">
        <f>'pampers-ja_jp'!D20</f>
        <v>Inactive</v>
      </c>
      <c r="F116" s="17">
        <f>'pampers-ja_jp'!M20</f>
        <v>320</v>
      </c>
      <c r="G116" s="17">
        <f>'pampers-ja_jp'!M20</f>
        <v>320</v>
      </c>
      <c r="H116" s="4" t="s">
        <v>1613</v>
      </c>
      <c r="I116" s="4" t="s">
        <v>1480</v>
      </c>
      <c r="J116" s="4" t="s">
        <v>1614</v>
      </c>
      <c r="K116" s="4" t="s">
        <v>1490</v>
      </c>
      <c r="L116" s="4"/>
      <c r="M116" s="4"/>
      <c r="N116" s="4"/>
    </row>
    <row r="117" spans="1:14" ht="60" x14ac:dyDescent="0.35">
      <c r="A117" s="4" t="s">
        <v>1550</v>
      </c>
      <c r="B117" s="5" t="str">
        <f>'pampers-de_de'!C33</f>
        <v>PAMPERS_NINJAMAS_PYJAMA_PANTS</v>
      </c>
      <c r="C117" s="5" t="str">
        <f>'pampers-de_de'!E33</f>
        <v>NINJAMAS PYJAMA PANTS</v>
      </c>
      <c r="D117" s="5" t="str">
        <f>'pampers-de_de'!B33</f>
        <v>Pampers</v>
      </c>
      <c r="E117" s="5" t="str">
        <f>'pampers-de_de'!D33</f>
        <v>Inactive</v>
      </c>
      <c r="F117" s="17">
        <f>'pampers-de_de'!M33</f>
        <v>300</v>
      </c>
      <c r="G117" s="17">
        <f>'pampers-de_de'!M33</f>
        <v>300</v>
      </c>
      <c r="H117" s="4" t="s">
        <v>1613</v>
      </c>
      <c r="I117" s="4" t="s">
        <v>1480</v>
      </c>
      <c r="J117" s="4" t="s">
        <v>1614</v>
      </c>
      <c r="K117" s="4" t="s">
        <v>1490</v>
      </c>
      <c r="L117" s="4"/>
      <c r="M117" s="4"/>
      <c r="N117" s="4"/>
    </row>
    <row r="118" spans="1:14" ht="60" x14ac:dyDescent="0.35">
      <c r="A118" s="4" t="s">
        <v>1548</v>
      </c>
      <c r="B118" s="5" t="str">
        <f>'pampers-es'!C24</f>
        <v>261044229</v>
      </c>
      <c r="C118" s="5" t="str">
        <f>'pampers-es'!E24</f>
        <v>Pampers® Cruisers™</v>
      </c>
      <c r="D118" s="5" t="str">
        <f>'pampers-es'!B24</f>
        <v>Pampers</v>
      </c>
      <c r="E118" s="5" t="str">
        <f>'pampers-es'!D24</f>
        <v>Inactive</v>
      </c>
      <c r="F118" s="17">
        <f>'pampers-es'!M24</f>
        <v>291</v>
      </c>
      <c r="G118" s="17">
        <f>'pampers-es'!M24</f>
        <v>291</v>
      </c>
      <c r="H118" s="4" t="s">
        <v>1613</v>
      </c>
      <c r="I118" s="4" t="s">
        <v>1480</v>
      </c>
      <c r="J118" s="4" t="s">
        <v>1614</v>
      </c>
      <c r="K118" s="4" t="s">
        <v>1490</v>
      </c>
      <c r="L118" s="4"/>
      <c r="M118" s="4"/>
      <c r="N118" s="4"/>
    </row>
    <row r="119" spans="1:14" ht="60" x14ac:dyDescent="0.35">
      <c r="A119" s="4" t="s">
        <v>1547</v>
      </c>
      <c r="B119" s="5" t="str">
        <f>'pampers-en_us'!C19</f>
        <v>10900826</v>
      </c>
      <c r="C119" s="5" t="str">
        <f>'pampers-en_us'!E19</f>
        <v>Pampers® Swaddlers diapers</v>
      </c>
      <c r="D119" s="5" t="str">
        <f>'pampers-en_us'!B19</f>
        <v>Pampers</v>
      </c>
      <c r="E119" s="5" t="str">
        <f>'pampers-en_us'!D19</f>
        <v>Inactive</v>
      </c>
      <c r="F119" s="17">
        <f>'pampers-en_us'!M19</f>
        <v>276</v>
      </c>
      <c r="G119" s="17">
        <f>'pampers-en_us'!M19</f>
        <v>276</v>
      </c>
      <c r="H119" s="4" t="s">
        <v>1613</v>
      </c>
      <c r="I119" s="4" t="s">
        <v>1480</v>
      </c>
      <c r="J119" s="4" t="s">
        <v>1614</v>
      </c>
      <c r="K119" s="4" t="s">
        <v>1490</v>
      </c>
      <c r="L119" s="4"/>
      <c r="M119" s="4"/>
      <c r="N119" s="4"/>
    </row>
    <row r="120" spans="1:14" ht="60" x14ac:dyDescent="0.35">
      <c r="A120" s="4" t="s">
        <v>1553</v>
      </c>
      <c r="B120" s="5" t="str">
        <f>'pampers-ja_jp'!C27</f>
        <v>Pampers_premium_line_tape</v>
      </c>
      <c r="C120" s="5" t="str">
        <f>'pampers-ja_jp'!E27</f>
        <v>はじめての肌へのいちばんテープ</v>
      </c>
      <c r="D120" s="5" t="str">
        <f>'pampers-ja_jp'!B27</f>
        <v>Pampers</v>
      </c>
      <c r="E120" s="5" t="str">
        <f>'pampers-ja_jp'!D27</f>
        <v>Inactive</v>
      </c>
      <c r="F120" s="17">
        <f>'pampers-ja_jp'!M27</f>
        <v>266</v>
      </c>
      <c r="G120" s="17">
        <f>'pampers-ja_jp'!M27</f>
        <v>266</v>
      </c>
      <c r="H120" s="4" t="s">
        <v>1613</v>
      </c>
      <c r="I120" s="4" t="s">
        <v>1480</v>
      </c>
      <c r="J120" s="4" t="s">
        <v>1614</v>
      </c>
      <c r="K120" s="4" t="s">
        <v>1490</v>
      </c>
      <c r="L120" s="4"/>
      <c r="M120" s="4"/>
      <c r="N120" s="4"/>
    </row>
    <row r="121" spans="1:14" ht="60" x14ac:dyDescent="0.35">
      <c r="A121" s="4" t="s">
        <v>1548</v>
      </c>
      <c r="B121" s="5" t="str">
        <f>'pampers-es'!C35</f>
        <v>261044261</v>
      </c>
      <c r="C121" s="5" t="str">
        <f>'pampers-es'!E35</f>
        <v>Pampers® Baby-Dry™</v>
      </c>
      <c r="D121" s="5" t="str">
        <f>'pampers-es'!B35</f>
        <v>Pampers</v>
      </c>
      <c r="E121" s="5" t="str">
        <f>'pampers-es'!D35</f>
        <v>Inactive</v>
      </c>
      <c r="F121" s="17">
        <f>'pampers-es'!M35</f>
        <v>264</v>
      </c>
      <c r="G121" s="17">
        <f>'pampers-es'!M35</f>
        <v>264</v>
      </c>
      <c r="H121" s="4" t="s">
        <v>1613</v>
      </c>
      <c r="I121" s="4" t="s">
        <v>1480</v>
      </c>
      <c r="J121" s="4" t="s">
        <v>1614</v>
      </c>
      <c r="K121" s="4" t="s">
        <v>1490</v>
      </c>
      <c r="L121" s="4"/>
      <c r="M121" s="4"/>
      <c r="N121" s="4"/>
    </row>
    <row r="122" spans="1:14" ht="60" x14ac:dyDescent="0.35">
      <c r="A122" s="4" t="s">
        <v>1548</v>
      </c>
      <c r="B122" s="5" t="str">
        <f>'pampers-es'!C34</f>
        <v>261057381</v>
      </c>
      <c r="C122" s="5" t="str">
        <f>'pampers-es'!E34</f>
        <v>Pampers® Sensitive™</v>
      </c>
      <c r="D122" s="5" t="str">
        <f>'pampers-es'!B34</f>
        <v>Pampers</v>
      </c>
      <c r="E122" s="5" t="str">
        <f>'pampers-es'!D34</f>
        <v>Inactive</v>
      </c>
      <c r="F122" s="17">
        <f>'pampers-es'!M34</f>
        <v>255</v>
      </c>
      <c r="G122" s="17">
        <f>'pampers-es'!M34</f>
        <v>255</v>
      </c>
      <c r="H122" s="4" t="s">
        <v>1613</v>
      </c>
      <c r="I122" s="4" t="s">
        <v>1480</v>
      </c>
      <c r="J122" s="4" t="s">
        <v>1614</v>
      </c>
      <c r="K122" s="4" t="s">
        <v>1490</v>
      </c>
      <c r="L122" s="4"/>
      <c r="M122" s="4"/>
      <c r="N122" s="4"/>
    </row>
    <row r="123" spans="1:14" ht="60" x14ac:dyDescent="0.35">
      <c r="A123" s="4" t="s">
        <v>1553</v>
      </c>
      <c r="B123" s="5" t="str">
        <f>'pampers-ja_jp'!C32</f>
        <v>Pampers_main_line_tape</v>
      </c>
      <c r="C123" s="5" t="str">
        <f>'pampers-ja_jp'!E32</f>
        <v>さらさらケア テープ</v>
      </c>
      <c r="D123" s="5" t="str">
        <f>'pampers-ja_jp'!B32</f>
        <v>Pampers</v>
      </c>
      <c r="E123" s="5" t="str">
        <f>'pampers-ja_jp'!D32</f>
        <v>Inactive</v>
      </c>
      <c r="F123" s="17">
        <f>'pampers-ja_jp'!M32</f>
        <v>247</v>
      </c>
      <c r="G123" s="17">
        <f>'pampers-ja_jp'!M32</f>
        <v>247</v>
      </c>
      <c r="H123" s="4" t="s">
        <v>1613</v>
      </c>
      <c r="I123" s="4" t="s">
        <v>1480</v>
      </c>
      <c r="J123" s="4" t="s">
        <v>1614</v>
      </c>
      <c r="K123" s="4" t="s">
        <v>1490</v>
      </c>
      <c r="L123" s="4"/>
      <c r="M123" s="4"/>
      <c r="N123" s="4"/>
    </row>
    <row r="124" spans="1:14" ht="60" x14ac:dyDescent="0.35">
      <c r="A124" s="4" t="s">
        <v>1552</v>
      </c>
      <c r="B124" s="5" t="str">
        <f>pgdodotspain!C25</f>
        <v>2130000</v>
      </c>
      <c r="C124" s="5" t="str">
        <f>pgdodotspain!E25</f>
        <v>PAÑALES-BRAGUITA Dodot® Pants</v>
      </c>
      <c r="D124" s="5" t="str">
        <f>pgdodotspain!B25</f>
        <v>Pampers</v>
      </c>
      <c r="E124" s="5" t="str">
        <f>pgdodotspain!D25</f>
        <v>Inactive</v>
      </c>
      <c r="F124" s="17">
        <f>pgdodotspain!M25</f>
        <v>245</v>
      </c>
      <c r="G124" s="17">
        <f>pgdodotspain!M25</f>
        <v>245</v>
      </c>
      <c r="H124" s="4" t="s">
        <v>1613</v>
      </c>
      <c r="I124" s="4" t="s">
        <v>1480</v>
      </c>
      <c r="J124" s="4" t="s">
        <v>1614</v>
      </c>
      <c r="K124" s="4" t="s">
        <v>1490</v>
      </c>
      <c r="L124" s="4"/>
      <c r="M124" s="4"/>
      <c r="N124" s="4"/>
    </row>
    <row r="125" spans="1:14" ht="60" x14ac:dyDescent="0.35">
      <c r="A125" s="4" t="s">
        <v>1553</v>
      </c>
      <c r="B125" s="5" t="str">
        <f>'pampers-ja_jp'!C37</f>
        <v>4902430707046</v>
      </c>
      <c r="C125" s="5" t="str">
        <f>'pampers-ja_jp'!E37</f>
        <v>肌へのいちばん おしりふき</v>
      </c>
      <c r="D125" s="5" t="str">
        <f>'pampers-ja_jp'!B37</f>
        <v>Pampers</v>
      </c>
      <c r="E125" s="5" t="str">
        <f>'pampers-ja_jp'!D37</f>
        <v>Inactive</v>
      </c>
      <c r="F125" s="17">
        <f>'pampers-ja_jp'!M37</f>
        <v>245</v>
      </c>
      <c r="G125" s="17">
        <f>'pampers-ja_jp'!M37</f>
        <v>245</v>
      </c>
      <c r="H125" s="4" t="s">
        <v>1613</v>
      </c>
      <c r="I125" s="4" t="s">
        <v>1480</v>
      </c>
      <c r="J125" s="4" t="s">
        <v>1614</v>
      </c>
      <c r="K125" s="4" t="s">
        <v>1490</v>
      </c>
      <c r="L125" s="4"/>
      <c r="M125" s="4"/>
      <c r="N125" s="4"/>
    </row>
    <row r="126" spans="1:14" ht="60" x14ac:dyDescent="0.35">
      <c r="A126" s="4" t="s">
        <v>1553</v>
      </c>
      <c r="B126" s="5" t="str">
        <f>'pampers-ja_jp'!C22</f>
        <v>Pampers_premium_line_pants</v>
      </c>
      <c r="C126" s="5" t="str">
        <f>'pampers-ja_jp'!E22</f>
        <v>肌へのいちばんパンツMたっち～XL</v>
      </c>
      <c r="D126" s="5" t="str">
        <f>'pampers-ja_jp'!B22</f>
        <v>Pampers</v>
      </c>
      <c r="E126" s="5" t="str">
        <f>'pampers-ja_jp'!D22</f>
        <v>Inactive</v>
      </c>
      <c r="F126" s="17">
        <f>'pampers-ja_jp'!M22</f>
        <v>220</v>
      </c>
      <c r="G126" s="17">
        <f>'pampers-ja_jp'!M22</f>
        <v>220</v>
      </c>
      <c r="H126" s="4" t="s">
        <v>1613</v>
      </c>
      <c r="I126" s="4" t="s">
        <v>1480</v>
      </c>
      <c r="J126" s="4" t="s">
        <v>1614</v>
      </c>
      <c r="K126" s="4" t="s">
        <v>1490</v>
      </c>
      <c r="L126" s="4"/>
      <c r="M126" s="4"/>
      <c r="N126" s="4"/>
    </row>
    <row r="127" spans="1:14" ht="60" x14ac:dyDescent="0.35">
      <c r="A127" s="4" t="s">
        <v>1547</v>
      </c>
      <c r="B127" s="5" t="str">
        <f>'pampers-en_us'!C80</f>
        <v>80371909</v>
      </c>
      <c r="C127" s="5" t="str">
        <f>'pampers-en_us'!E80</f>
        <v>Pampers Pure Protection</v>
      </c>
      <c r="D127" s="5" t="str">
        <f>'pampers-en_us'!B80</f>
        <v>Pampers</v>
      </c>
      <c r="E127" s="5" t="str">
        <f>'pampers-en_us'!D80</f>
        <v>Inactive</v>
      </c>
      <c r="F127" s="17">
        <f>'pampers-en_us'!M80</f>
        <v>198</v>
      </c>
      <c r="G127" s="17">
        <f>'pampers-en_us'!M80</f>
        <v>198</v>
      </c>
      <c r="H127" s="4" t="s">
        <v>1617</v>
      </c>
      <c r="I127" s="4" t="s">
        <v>1480</v>
      </c>
      <c r="J127" s="4" t="s">
        <v>1614</v>
      </c>
      <c r="K127" s="4" t="s">
        <v>1490</v>
      </c>
      <c r="L127" s="4"/>
      <c r="M127" s="4"/>
      <c r="N127" s="4"/>
    </row>
    <row r="128" spans="1:14" ht="60" x14ac:dyDescent="0.35">
      <c r="A128" s="4" t="s">
        <v>1551</v>
      </c>
      <c r="B128" s="5" t="str">
        <f>'pampers-fr_fr'!C74</f>
        <v>181156501-FR</v>
      </c>
      <c r="C128" s="5" t="str">
        <f>'pampers-fr_fr'!E74</f>
        <v>LINGETTES Pampers New Baby Sensitive</v>
      </c>
      <c r="D128" s="5" t="str">
        <f>'pampers-fr_fr'!B74</f>
        <v>Pampers</v>
      </c>
      <c r="E128" s="5" t="str">
        <f>'pampers-fr_fr'!D74</f>
        <v>Inactive</v>
      </c>
      <c r="F128" s="17">
        <f>'pampers-fr_fr'!M74</f>
        <v>190</v>
      </c>
      <c r="G128" s="17">
        <f>'pampers-fr_fr'!M74</f>
        <v>190</v>
      </c>
      <c r="H128" s="4" t="s">
        <v>1613</v>
      </c>
      <c r="I128" s="4" t="s">
        <v>1480</v>
      </c>
      <c r="J128" s="4" t="s">
        <v>1614</v>
      </c>
      <c r="K128" s="4" t="s">
        <v>1490</v>
      </c>
      <c r="L128" s="4"/>
      <c r="M128" s="4"/>
      <c r="N128" s="4"/>
    </row>
    <row r="129" spans="1:14" ht="60" x14ac:dyDescent="0.35">
      <c r="A129" s="4" t="s">
        <v>1547</v>
      </c>
      <c r="B129" s="5" t="str">
        <f>'pampers-en_us'!C65</f>
        <v>80371910</v>
      </c>
      <c r="C129" s="5" t="str">
        <f>'pampers-en_us'!E65</f>
        <v>Pampers Pure Protection</v>
      </c>
      <c r="D129" s="5" t="str">
        <f>'pampers-en_us'!B65</f>
        <v>Pampers</v>
      </c>
      <c r="E129" s="5" t="str">
        <f>'pampers-en_us'!D65</f>
        <v>Inactive</v>
      </c>
      <c r="F129" s="17">
        <f>'pampers-en_us'!M65</f>
        <v>177</v>
      </c>
      <c r="G129" s="17">
        <f>'pampers-en_us'!M65</f>
        <v>177</v>
      </c>
      <c r="H129" s="4" t="s">
        <v>1617</v>
      </c>
      <c r="I129" s="4" t="s">
        <v>1480</v>
      </c>
      <c r="J129" s="4" t="s">
        <v>1614</v>
      </c>
      <c r="K129" s="4" t="s">
        <v>1490</v>
      </c>
      <c r="L129" s="4"/>
      <c r="M129" s="4"/>
      <c r="N129" s="4"/>
    </row>
    <row r="130" spans="1:14" ht="60" x14ac:dyDescent="0.35">
      <c r="A130" s="4" t="s">
        <v>1547</v>
      </c>
      <c r="B130" s="5" t="str">
        <f>'pampers-en_us'!C60</f>
        <v>037000275084</v>
      </c>
      <c r="C130" s="5" t="str">
        <f>'pampers-en_us'!E60</f>
        <v>Pampers Pure Hybrid Trial Kit</v>
      </c>
      <c r="D130" s="5" t="str">
        <f>'pampers-en_us'!B60</f>
        <v>Pampers</v>
      </c>
      <c r="E130" s="5" t="str">
        <f>'pampers-en_us'!D60</f>
        <v>Inactive</v>
      </c>
      <c r="F130" s="17">
        <f>'pampers-en_us'!M60</f>
        <v>175</v>
      </c>
      <c r="G130" s="17">
        <f>'pampers-en_us'!M60</f>
        <v>175</v>
      </c>
      <c r="H130" s="4" t="s">
        <v>1613</v>
      </c>
      <c r="I130" s="4" t="s">
        <v>1480</v>
      </c>
      <c r="J130" s="4" t="s">
        <v>1614</v>
      </c>
      <c r="K130" s="4" t="s">
        <v>1490</v>
      </c>
      <c r="L130" s="4"/>
      <c r="M130" s="4"/>
      <c r="N130" s="4"/>
    </row>
    <row r="131" spans="1:14" ht="60" x14ac:dyDescent="0.35">
      <c r="A131" s="4" t="s">
        <v>1547</v>
      </c>
      <c r="B131" s="5" t="str">
        <f>'pampers-en_us'!C46</f>
        <v>037000275497</v>
      </c>
      <c r="C131" s="5" t="str">
        <f>'pampers-en_us'!E46</f>
        <v>Pampers Pure Hybrid Overnight Disposable Inserts</v>
      </c>
      <c r="D131" s="5" t="str">
        <f>'pampers-en_us'!B46</f>
        <v>Pampers</v>
      </c>
      <c r="E131" s="5" t="str">
        <f>'pampers-en_us'!D46</f>
        <v>Inactive</v>
      </c>
      <c r="F131" s="17">
        <f>'pampers-en_us'!M46</f>
        <v>170</v>
      </c>
      <c r="G131" s="17">
        <f>'pampers-en_us'!M46</f>
        <v>170</v>
      </c>
      <c r="H131" s="4" t="s">
        <v>1613</v>
      </c>
      <c r="I131" s="4" t="s">
        <v>1480</v>
      </c>
      <c r="J131" s="4" t="s">
        <v>1614</v>
      </c>
      <c r="K131" s="4" t="s">
        <v>1490</v>
      </c>
      <c r="L131" s="4"/>
      <c r="M131" s="4"/>
      <c r="N131" s="4"/>
    </row>
    <row r="132" spans="1:14" ht="60" x14ac:dyDescent="0.35">
      <c r="A132" s="4" t="s">
        <v>1547</v>
      </c>
      <c r="B132" s="5" t="str">
        <f>'pampers-en_us'!C31</f>
        <v>900828</v>
      </c>
      <c r="C132" s="5" t="str">
        <f>'pampers-en_us'!E31</f>
        <v>Pampers Limited Edition Prints Diapers for Boys and Girls</v>
      </c>
      <c r="D132" s="5" t="str">
        <f>'pampers-en_us'!B31</f>
        <v>Pampers</v>
      </c>
      <c r="E132" s="5" t="str">
        <f>'pampers-en_us'!D31</f>
        <v>Inactive</v>
      </c>
      <c r="F132" s="17">
        <f>'pampers-en_us'!M31</f>
        <v>169</v>
      </c>
      <c r="G132" s="17">
        <f>'pampers-en_us'!M31</f>
        <v>169</v>
      </c>
      <c r="H132" s="4" t="s">
        <v>1613</v>
      </c>
      <c r="I132" s="4" t="s">
        <v>1480</v>
      </c>
      <c r="J132" s="4" t="s">
        <v>1614</v>
      </c>
      <c r="K132" s="4" t="s">
        <v>1490</v>
      </c>
      <c r="L132" s="4"/>
      <c r="M132" s="4"/>
      <c r="N132" s="4"/>
    </row>
    <row r="133" spans="1:14" ht="60" x14ac:dyDescent="0.35">
      <c r="A133" s="4" t="s">
        <v>1549</v>
      </c>
      <c r="B133" s="5" t="str">
        <f>'pampers-en_gb'!C16</f>
        <v>pampers-kids-hygiene-on-the-go-wipes</v>
      </c>
      <c r="C133" s="5" t="str">
        <f>'pampers-en_gb'!E16</f>
        <v>Pampers® Kids Hygiene on-the-go Wipes</v>
      </c>
      <c r="D133" s="5" t="str">
        <f>'pampers-en_gb'!B16</f>
        <v>Pampers</v>
      </c>
      <c r="E133" s="5" t="str">
        <f>'pampers-en_gb'!D16</f>
        <v>Inactive</v>
      </c>
      <c r="F133" s="17">
        <f>'pampers-en_gb'!M16</f>
        <v>158</v>
      </c>
      <c r="G133" s="17">
        <f>'pampers-en_gb'!M16</f>
        <v>158</v>
      </c>
      <c r="H133" s="4" t="s">
        <v>1613</v>
      </c>
      <c r="I133" s="4" t="s">
        <v>1480</v>
      </c>
      <c r="J133" s="4" t="s">
        <v>1614</v>
      </c>
      <c r="K133" s="4" t="s">
        <v>1490</v>
      </c>
      <c r="L133" s="4"/>
      <c r="M133" s="4"/>
      <c r="N133" s="4"/>
    </row>
    <row r="134" spans="1:14" ht="60" x14ac:dyDescent="0.35">
      <c r="A134" s="4" t="s">
        <v>1553</v>
      </c>
      <c r="B134" s="5" t="str">
        <f>'pampers-ja_jp'!C29</f>
        <v>4-JP</v>
      </c>
      <c r="C134" s="5" t="str">
        <f>'pampers-ja_jp'!E29</f>
        <v>パンパース さらさらケア テープ</v>
      </c>
      <c r="D134" s="5" t="str">
        <f>'pampers-ja_jp'!B29</f>
        <v>Pampers</v>
      </c>
      <c r="E134" s="5" t="str">
        <f>'pampers-ja_jp'!D29</f>
        <v>Inactive</v>
      </c>
      <c r="F134" s="17">
        <f>'pampers-ja_jp'!M29</f>
        <v>153</v>
      </c>
      <c r="G134" s="17">
        <f>'pampers-ja_jp'!M29</f>
        <v>153</v>
      </c>
      <c r="H134" s="4" t="s">
        <v>1613</v>
      </c>
      <c r="I134" s="4" t="s">
        <v>1480</v>
      </c>
      <c r="J134" s="4" t="s">
        <v>1614</v>
      </c>
      <c r="K134" s="4" t="s">
        <v>1490</v>
      </c>
      <c r="L134" s="4"/>
      <c r="M134" s="4"/>
      <c r="N134" s="4"/>
    </row>
    <row r="135" spans="1:14" ht="60" x14ac:dyDescent="0.35">
      <c r="A135" s="4" t="s">
        <v>1547</v>
      </c>
      <c r="B135" s="5" t="str">
        <f>'pampers-en_us'!C43</f>
        <v>Pampers_Pure_Hybrid_StarterKit</v>
      </c>
      <c r="C135" s="5" t="str">
        <f>'pampers-en_us'!E43</f>
        <v>Pampers® Pure Hybrid Starter Kit</v>
      </c>
      <c r="D135" s="5" t="str">
        <f>'pampers-en_us'!B43</f>
        <v>Pampers</v>
      </c>
      <c r="E135" s="5" t="str">
        <f>'pampers-en_us'!D43</f>
        <v>Inactive</v>
      </c>
      <c r="F135" s="17">
        <f>'pampers-en_us'!M43</f>
        <v>147</v>
      </c>
      <c r="G135" s="17">
        <f>'pampers-en_us'!M43</f>
        <v>147</v>
      </c>
      <c r="H135" s="4" t="s">
        <v>1613</v>
      </c>
      <c r="I135" s="4" t="s">
        <v>1480</v>
      </c>
      <c r="J135" s="4" t="s">
        <v>1614</v>
      </c>
      <c r="K135" s="4" t="s">
        <v>1490</v>
      </c>
      <c r="L135" s="4"/>
      <c r="M135" s="4"/>
      <c r="N135" s="4"/>
    </row>
    <row r="136" spans="1:14" ht="60" x14ac:dyDescent="0.35">
      <c r="A136" s="4" t="s">
        <v>1547</v>
      </c>
      <c r="B136" s="5" t="str">
        <f>'pampers-en_us'!C17</f>
        <v>900803</v>
      </c>
      <c r="C136" s="5">
        <f>'pampers-en_us'!E17</f>
        <v>0</v>
      </c>
      <c r="D136" s="5" t="str">
        <f>'pampers-en_us'!B17</f>
        <v>Pampers</v>
      </c>
      <c r="E136" s="5" t="str">
        <f>'pampers-en_us'!D17</f>
        <v>Inactive</v>
      </c>
      <c r="F136" s="17">
        <f>'pampers-en_us'!M17</f>
        <v>141</v>
      </c>
      <c r="G136" s="17">
        <f>'pampers-en_us'!M17</f>
        <v>141</v>
      </c>
      <c r="H136" s="4" t="s">
        <v>1613</v>
      </c>
      <c r="I136" s="4" t="s">
        <v>1480</v>
      </c>
      <c r="J136" s="4" t="s">
        <v>1614</v>
      </c>
      <c r="K136" s="4" t="s">
        <v>1490</v>
      </c>
      <c r="L136" s="4"/>
      <c r="M136" s="4"/>
      <c r="N136" s="4"/>
    </row>
    <row r="137" spans="1:14" ht="60" x14ac:dyDescent="0.35">
      <c r="A137" s="4" t="s">
        <v>1549</v>
      </c>
      <c r="B137" s="5" t="str">
        <f>'pampers-en_gb'!C27</f>
        <v>20150226-1-GB</v>
      </c>
      <c r="C137" s="5" t="str">
        <f>'pampers-en_gb'!E27</f>
        <v>WIPES Pampers Sensitive Protect</v>
      </c>
      <c r="D137" s="5" t="str">
        <f>'pampers-en_gb'!B27</f>
        <v>Pampers</v>
      </c>
      <c r="E137" s="5" t="str">
        <f>'pampers-en_gb'!D27</f>
        <v>Inactive</v>
      </c>
      <c r="F137" s="17">
        <f>'pampers-en_gb'!M27</f>
        <v>140</v>
      </c>
      <c r="G137" s="17">
        <f>'pampers-en_gb'!M27</f>
        <v>140</v>
      </c>
      <c r="H137" s="4" t="s">
        <v>1613</v>
      </c>
      <c r="I137" s="4" t="s">
        <v>1480</v>
      </c>
      <c r="J137" s="4" t="s">
        <v>1614</v>
      </c>
      <c r="K137" s="4" t="s">
        <v>1490</v>
      </c>
      <c r="L137" s="4"/>
      <c r="M137" s="4"/>
      <c r="N137" s="4"/>
    </row>
    <row r="138" spans="1:14" ht="60" x14ac:dyDescent="0.35">
      <c r="A138" s="4" t="s">
        <v>1547</v>
      </c>
      <c r="B138" s="5" t="str">
        <f>'pampers-en_us'!C52</f>
        <v>80372028</v>
      </c>
      <c r="C138" s="5" t="str">
        <f>'pampers-en_us'!E52</f>
        <v>Pampers Pure Protection</v>
      </c>
      <c r="D138" s="5" t="str">
        <f>'pampers-en_us'!B52</f>
        <v>Pampers</v>
      </c>
      <c r="E138" s="5" t="str">
        <f>'pampers-en_us'!D52</f>
        <v>Inactive</v>
      </c>
      <c r="F138" s="17">
        <f>'pampers-en_us'!M52</f>
        <v>136</v>
      </c>
      <c r="G138" s="17">
        <f>'pampers-en_us'!M52</f>
        <v>136</v>
      </c>
      <c r="H138" s="4" t="s">
        <v>1617</v>
      </c>
      <c r="I138" s="4" t="s">
        <v>1480</v>
      </c>
      <c r="J138" s="4" t="s">
        <v>1614</v>
      </c>
      <c r="K138" s="4" t="s">
        <v>1490</v>
      </c>
      <c r="L138" s="4"/>
      <c r="M138" s="4"/>
      <c r="N138" s="4"/>
    </row>
    <row r="139" spans="1:14" ht="60" x14ac:dyDescent="0.35">
      <c r="A139" s="4" t="s">
        <v>1547</v>
      </c>
      <c r="B139" s="5" t="str">
        <f>'pampers-en_us'!C69</f>
        <v>37000949022</v>
      </c>
      <c r="C139" s="5" t="str">
        <f>'pampers-en_us'!E69</f>
        <v>Pampers Premium Care</v>
      </c>
      <c r="D139" s="5" t="str">
        <f>'pampers-en_us'!B69</f>
        <v>Pampers</v>
      </c>
      <c r="E139" s="5" t="str">
        <f>'pampers-en_us'!D69</f>
        <v>Inactive</v>
      </c>
      <c r="F139" s="17">
        <f>'pampers-en_us'!M69</f>
        <v>135</v>
      </c>
      <c r="G139" s="17">
        <f>'pampers-en_us'!M69</f>
        <v>135</v>
      </c>
      <c r="H139" s="4" t="s">
        <v>1613</v>
      </c>
      <c r="I139" s="4" t="s">
        <v>1480</v>
      </c>
      <c r="J139" s="4" t="s">
        <v>1614</v>
      </c>
      <c r="K139" s="4" t="s">
        <v>1490</v>
      </c>
      <c r="L139" s="4"/>
      <c r="M139" s="4"/>
      <c r="N139" s="4"/>
    </row>
    <row r="140" spans="1:14" ht="60" x14ac:dyDescent="0.35">
      <c r="A140" s="4" t="s">
        <v>1550</v>
      </c>
      <c r="B140" s="5" t="str">
        <f>'pampers-de_de'!C25</f>
        <v>PSP-DE</v>
      </c>
      <c r="C140" s="5" t="str">
        <f>'pampers-de_de'!E25</f>
        <v>WINDELN   Pampers Sleep and Play</v>
      </c>
      <c r="D140" s="5" t="str">
        <f>'pampers-de_de'!B25</f>
        <v>Pampers</v>
      </c>
      <c r="E140" s="5" t="str">
        <f>'pampers-de_de'!D25</f>
        <v>Inactive</v>
      </c>
      <c r="F140" s="17">
        <f>'pampers-de_de'!M25</f>
        <v>126</v>
      </c>
      <c r="G140" s="17">
        <f>'pampers-de_de'!M25</f>
        <v>126</v>
      </c>
      <c r="H140" s="4" t="s">
        <v>1613</v>
      </c>
      <c r="I140" s="4" t="s">
        <v>1480</v>
      </c>
      <c r="J140" s="4" t="s">
        <v>1614</v>
      </c>
      <c r="K140" s="4" t="s">
        <v>1490</v>
      </c>
      <c r="L140" s="4"/>
      <c r="M140" s="4"/>
      <c r="N140" s="4"/>
    </row>
    <row r="141" spans="1:14" ht="60" x14ac:dyDescent="0.35">
      <c r="A141" s="4" t="s">
        <v>1547</v>
      </c>
      <c r="B141" s="5" t="str">
        <f>'pampers-en_us'!C56</f>
        <v>037000275435</v>
      </c>
      <c r="C141" s="5" t="str">
        <f>'pampers-en_us'!E56</f>
        <v>Pampers Pure Hybrid Disposable Inserts</v>
      </c>
      <c r="D141" s="5" t="str">
        <f>'pampers-en_us'!B56</f>
        <v>Pampers</v>
      </c>
      <c r="E141" s="5" t="str">
        <f>'pampers-en_us'!D56</f>
        <v>Inactive</v>
      </c>
      <c r="F141" s="17">
        <f>'pampers-en_us'!M56</f>
        <v>117</v>
      </c>
      <c r="G141" s="17">
        <f>'pampers-en_us'!M56</f>
        <v>117</v>
      </c>
      <c r="H141" s="4" t="s">
        <v>1613</v>
      </c>
      <c r="I141" s="4" t="s">
        <v>1480</v>
      </c>
      <c r="J141" s="4" t="s">
        <v>1614</v>
      </c>
      <c r="K141" s="4" t="s">
        <v>1490</v>
      </c>
      <c r="L141" s="4"/>
      <c r="M141" s="4"/>
      <c r="N141" s="4"/>
    </row>
    <row r="142" spans="1:14" ht="60" x14ac:dyDescent="0.35">
      <c r="A142" s="4" t="s">
        <v>1547</v>
      </c>
      <c r="B142" s="5" t="str">
        <f>'pampers-en_us'!C8</f>
        <v>037000275046</v>
      </c>
      <c r="C142" s="5" t="str">
        <f>'pampers-en_us'!E8</f>
        <v>Pampers Pure Hybrid Starter Kit</v>
      </c>
      <c r="D142" s="5" t="str">
        <f>'pampers-en_us'!B8</f>
        <v>Pampers</v>
      </c>
      <c r="E142" s="5" t="str">
        <f>'pampers-en_us'!D8</f>
        <v>Inactive</v>
      </c>
      <c r="F142" s="17">
        <f>'pampers-en_us'!M8</f>
        <v>116</v>
      </c>
      <c r="G142" s="17">
        <f>'pampers-en_us'!M8</f>
        <v>116</v>
      </c>
      <c r="H142" s="4" t="s">
        <v>1613</v>
      </c>
      <c r="I142" s="4" t="s">
        <v>1480</v>
      </c>
      <c r="J142" s="4" t="s">
        <v>1614</v>
      </c>
      <c r="K142" s="4" t="s">
        <v>1490</v>
      </c>
      <c r="L142" s="4"/>
      <c r="M142" s="4"/>
      <c r="N142" s="4"/>
    </row>
    <row r="143" spans="1:14" ht="60" x14ac:dyDescent="0.35">
      <c r="A143" s="4" t="s">
        <v>1547</v>
      </c>
      <c r="B143" s="5" t="str">
        <f>'pampers-en_us'!C81</f>
        <v>037000275848</v>
      </c>
      <c r="C143" s="5" t="str">
        <f>'pampers-en_us'!E81</f>
        <v>Pampers Pure Hybrid Cloth Diaper Cover - Jungle</v>
      </c>
      <c r="D143" s="5" t="str">
        <f>'pampers-en_us'!B81</f>
        <v>Pampers</v>
      </c>
      <c r="E143" s="5" t="str">
        <f>'pampers-en_us'!D81</f>
        <v>Inactive</v>
      </c>
      <c r="F143" s="17">
        <f>'pampers-en_us'!M81</f>
        <v>110</v>
      </c>
      <c r="G143" s="17">
        <f>'pampers-en_us'!M81</f>
        <v>110</v>
      </c>
      <c r="H143" s="4" t="s">
        <v>1613</v>
      </c>
      <c r="I143" s="4" t="s">
        <v>1480</v>
      </c>
      <c r="J143" s="4" t="s">
        <v>1614</v>
      </c>
      <c r="K143" s="4" t="s">
        <v>1490</v>
      </c>
      <c r="L143" s="4"/>
      <c r="M143" s="4"/>
      <c r="N143" s="4"/>
    </row>
    <row r="144" spans="1:14" ht="60" x14ac:dyDescent="0.35">
      <c r="A144" s="4" t="s">
        <v>1549</v>
      </c>
      <c r="B144" s="5" t="str">
        <f>'pampers-en_gb'!C26</f>
        <v>PAMPERS_BABY_DRY_NIGHT_PANTS</v>
      </c>
      <c r="C144" s="5" t="str">
        <f>'pampers-en_gb'!E26</f>
        <v>Pampers® Baby-Dry™ Night Nappy Pants</v>
      </c>
      <c r="D144" s="5" t="str">
        <f>'pampers-en_gb'!B26</f>
        <v>Pampers</v>
      </c>
      <c r="E144" s="5" t="str">
        <f>'pampers-en_gb'!D26</f>
        <v>Inactive</v>
      </c>
      <c r="F144" s="17">
        <f>'pampers-en_gb'!M26</f>
        <v>110</v>
      </c>
      <c r="G144" s="17">
        <f>'pampers-en_gb'!M26</f>
        <v>110</v>
      </c>
      <c r="H144" s="4" t="s">
        <v>1613</v>
      </c>
      <c r="I144" s="4" t="s">
        <v>1480</v>
      </c>
      <c r="J144" s="4" t="s">
        <v>1614</v>
      </c>
      <c r="K144" s="4" t="s">
        <v>1490</v>
      </c>
      <c r="L144" s="4"/>
      <c r="M144" s="4"/>
      <c r="N144" s="4"/>
    </row>
    <row r="145" spans="1:14" ht="60" x14ac:dyDescent="0.35">
      <c r="A145" s="4" t="s">
        <v>1548</v>
      </c>
      <c r="B145" s="5" t="str">
        <f>'pampers-es'!C28</f>
        <v>261044225</v>
      </c>
      <c r="C145" s="5" t="str">
        <f>'pampers-es'!E28</f>
        <v>Pampers® Swaddlers Sensitive™</v>
      </c>
      <c r="D145" s="5" t="str">
        <f>'pampers-es'!B28</f>
        <v>Pampers</v>
      </c>
      <c r="E145" s="5" t="str">
        <f>'pampers-es'!D28</f>
        <v>Inactive</v>
      </c>
      <c r="F145" s="17">
        <f>'pampers-es'!M28</f>
        <v>103</v>
      </c>
      <c r="G145" s="17">
        <f>'pampers-es'!M28</f>
        <v>103</v>
      </c>
      <c r="H145" s="4" t="s">
        <v>1613</v>
      </c>
      <c r="I145" s="4" t="s">
        <v>1480</v>
      </c>
      <c r="J145" s="4" t="s">
        <v>1614</v>
      </c>
      <c r="K145" s="4" t="s">
        <v>1490</v>
      </c>
      <c r="L145" s="4"/>
      <c r="M145" s="4"/>
      <c r="N145" s="4"/>
    </row>
    <row r="146" spans="1:14" ht="60" x14ac:dyDescent="0.35">
      <c r="A146" s="4" t="s">
        <v>1547</v>
      </c>
      <c r="B146" s="5" t="str">
        <f>'pampers-en_us'!C41</f>
        <v>E00000001</v>
      </c>
      <c r="C146" s="5" t="str">
        <f>'pampers-en_us'!E41</f>
        <v>Smart Baby Monitor + Sleep System</v>
      </c>
      <c r="D146" s="5" t="str">
        <f>'pampers-en_us'!B41</f>
        <v>LUMI</v>
      </c>
      <c r="E146" s="5" t="str">
        <f>'pampers-en_us'!D41</f>
        <v>Inactive</v>
      </c>
      <c r="F146" s="17">
        <f>'pampers-en_us'!M41</f>
        <v>94</v>
      </c>
      <c r="G146" s="17">
        <f>'pampers-en_us'!M41</f>
        <v>94</v>
      </c>
      <c r="H146" s="4" t="s">
        <v>1613</v>
      </c>
      <c r="I146" s="4" t="s">
        <v>1480</v>
      </c>
      <c r="J146" s="4" t="s">
        <v>1614</v>
      </c>
      <c r="K146" s="4" t="s">
        <v>1490</v>
      </c>
      <c r="L146" s="4"/>
      <c r="M146" s="4"/>
      <c r="N146" s="4"/>
    </row>
    <row r="147" spans="1:14" ht="60" x14ac:dyDescent="0.35">
      <c r="A147" s="4" t="s">
        <v>1550</v>
      </c>
      <c r="B147" s="5" t="str">
        <f>'pampers-de_de'!C24</f>
        <v>22-DE</v>
      </c>
      <c r="C147" s="5" t="str">
        <f>'pampers-de_de'!E24</f>
        <v>Pampers Change Mats</v>
      </c>
      <c r="D147" s="5" t="str">
        <f>'pampers-de_de'!B24</f>
        <v>Pampers</v>
      </c>
      <c r="E147" s="5" t="str">
        <f>'pampers-de_de'!D24</f>
        <v>Inactive</v>
      </c>
      <c r="F147" s="17">
        <f>'pampers-de_de'!M24</f>
        <v>93</v>
      </c>
      <c r="G147" s="17">
        <f>'pampers-de_de'!M24</f>
        <v>93</v>
      </c>
      <c r="H147" s="4" t="s">
        <v>1613</v>
      </c>
      <c r="I147" s="4" t="s">
        <v>1480</v>
      </c>
      <c r="J147" s="4" t="s">
        <v>1614</v>
      </c>
      <c r="K147" s="4" t="s">
        <v>1490</v>
      </c>
      <c r="L147" s="4"/>
      <c r="M147" s="4"/>
      <c r="N147" s="4"/>
    </row>
    <row r="148" spans="1:14" ht="60" x14ac:dyDescent="0.35">
      <c r="A148" s="4" t="s">
        <v>1548</v>
      </c>
      <c r="B148" s="5" t="str">
        <f>'pampers-es'!C33</f>
        <v>261057382</v>
      </c>
      <c r="C148" s="5" t="str">
        <f>'pampers-es'!E33</f>
        <v>Pampers® Complete Clean™ Baby Fresh Scent</v>
      </c>
      <c r="D148" s="5" t="str">
        <f>'pampers-es'!B33</f>
        <v>Pampers</v>
      </c>
      <c r="E148" s="5" t="str">
        <f>'pampers-es'!D33</f>
        <v>Inactive</v>
      </c>
      <c r="F148" s="17">
        <f>'pampers-es'!M33</f>
        <v>92</v>
      </c>
      <c r="G148" s="17">
        <f>'pampers-es'!M33</f>
        <v>92</v>
      </c>
      <c r="H148" s="4" t="s">
        <v>1613</v>
      </c>
      <c r="I148" s="4" t="s">
        <v>1480</v>
      </c>
      <c r="J148" s="4" t="s">
        <v>1614</v>
      </c>
      <c r="K148" s="4" t="s">
        <v>1490</v>
      </c>
      <c r="L148" s="4"/>
      <c r="M148" s="4"/>
      <c r="N148" s="4"/>
    </row>
    <row r="149" spans="1:14" ht="60" x14ac:dyDescent="0.35">
      <c r="A149" s="4" t="s">
        <v>1547</v>
      </c>
      <c r="B149" s="5" t="str">
        <f>'pampers-en_us'!C90</f>
        <v>761042388</v>
      </c>
      <c r="C149" s="5" t="str">
        <f>'pampers-en_us'!E90</f>
        <v>Pampers® Swaddlers™</v>
      </c>
      <c r="D149" s="5" t="str">
        <f>'pampers-en_us'!B90</f>
        <v>Pampers</v>
      </c>
      <c r="E149" s="5" t="str">
        <f>'pampers-en_us'!D90</f>
        <v>Inactive</v>
      </c>
      <c r="F149" s="17">
        <f>'pampers-en_us'!M90</f>
        <v>89</v>
      </c>
      <c r="G149" s="17">
        <f>'pampers-en_us'!M90</f>
        <v>89</v>
      </c>
      <c r="H149" s="4" t="s">
        <v>1618</v>
      </c>
      <c r="I149" s="4" t="s">
        <v>1480</v>
      </c>
      <c r="J149" s="4" t="s">
        <v>1614</v>
      </c>
      <c r="K149" s="4" t="s">
        <v>1490</v>
      </c>
      <c r="L149" s="4"/>
      <c r="M149" s="4"/>
      <c r="N149" s="4"/>
    </row>
    <row r="150" spans="1:14" ht="60" x14ac:dyDescent="0.35">
      <c r="A150" s="4" t="s">
        <v>1551</v>
      </c>
      <c r="B150" s="5" t="str">
        <f>'pampers-fr_fr'!C67</f>
        <v>Pampers®_Kids_Hygiene_On-The-Go</v>
      </c>
      <c r="C150" s="5" t="str">
        <f>'pampers-fr_fr'!E67</f>
        <v>Pampers® Kids Hygiene On-The-Go</v>
      </c>
      <c r="D150" s="5" t="str">
        <f>'pampers-fr_fr'!B67</f>
        <v>Pampers</v>
      </c>
      <c r="E150" s="5" t="str">
        <f>'pampers-fr_fr'!D67</f>
        <v>Inactive</v>
      </c>
      <c r="F150" s="17">
        <f>'pampers-fr_fr'!M67</f>
        <v>88</v>
      </c>
      <c r="G150" s="17">
        <f>'pampers-fr_fr'!M67</f>
        <v>88</v>
      </c>
      <c r="H150" s="4" t="s">
        <v>1613</v>
      </c>
      <c r="I150" s="4" t="s">
        <v>1480</v>
      </c>
      <c r="J150" s="4" t="s">
        <v>1614</v>
      </c>
      <c r="K150" s="4" t="s">
        <v>1490</v>
      </c>
      <c r="L150" s="4"/>
      <c r="M150" s="4"/>
      <c r="N150" s="4"/>
    </row>
    <row r="151" spans="1:14" ht="60" x14ac:dyDescent="0.35">
      <c r="A151" s="4" t="s">
        <v>1547</v>
      </c>
      <c r="B151" s="5" t="str">
        <f>'pampers-en_us'!C21</f>
        <v>10900802</v>
      </c>
      <c r="C151" s="5" t="str">
        <f>'pampers-en_us'!E21</f>
        <v>Pampers® Swaddlers Sensitive diapers</v>
      </c>
      <c r="D151" s="5" t="str">
        <f>'pampers-en_us'!B21</f>
        <v>Pampers</v>
      </c>
      <c r="E151" s="5" t="str">
        <f>'pampers-en_us'!D21</f>
        <v>Inactive</v>
      </c>
      <c r="F151" s="17">
        <f>'pampers-en_us'!M21</f>
        <v>87</v>
      </c>
      <c r="G151" s="17">
        <f>'pampers-en_us'!M21</f>
        <v>87</v>
      </c>
      <c r="H151" s="4" t="s">
        <v>1613</v>
      </c>
      <c r="I151" s="4" t="s">
        <v>1480</v>
      </c>
      <c r="J151" s="4" t="s">
        <v>1614</v>
      </c>
      <c r="K151" s="4" t="s">
        <v>1490</v>
      </c>
      <c r="L151" s="4"/>
      <c r="M151" s="4"/>
      <c r="N151" s="4"/>
    </row>
    <row r="152" spans="1:14" ht="60" x14ac:dyDescent="0.35">
      <c r="A152" s="4" t="s">
        <v>1547</v>
      </c>
      <c r="B152" s="5" t="str">
        <f>'pampers-en_us'!C42</f>
        <v>E000000011</v>
      </c>
      <c r="C152" s="5" t="str">
        <f>'pampers-en_us'!E42</f>
        <v>Smart Baby Monitor</v>
      </c>
      <c r="D152" s="5" t="str">
        <f>'pampers-en_us'!B42</f>
        <v>LUMI</v>
      </c>
      <c r="E152" s="5" t="str">
        <f>'pampers-en_us'!D42</f>
        <v>Inactive</v>
      </c>
      <c r="F152" s="17">
        <f>'pampers-en_us'!M42</f>
        <v>73</v>
      </c>
      <c r="G152" s="17">
        <f>'pampers-en_us'!M42</f>
        <v>73</v>
      </c>
      <c r="H152" s="4" t="s">
        <v>1613</v>
      </c>
      <c r="I152" s="4" t="s">
        <v>1480</v>
      </c>
      <c r="J152" s="4" t="s">
        <v>1614</v>
      </c>
      <c r="K152" s="4" t="s">
        <v>1490</v>
      </c>
      <c r="L152" s="4"/>
      <c r="M152" s="4"/>
      <c r="N152" s="4"/>
    </row>
    <row r="153" spans="1:14" ht="60" x14ac:dyDescent="0.35">
      <c r="A153" s="4" t="s">
        <v>1549</v>
      </c>
      <c r="B153" s="5" t="str">
        <f>'pampers-en_gb'!C32</f>
        <v>PAMPERS_FRESH_CLEAN_PLASTIC_FREE</v>
      </c>
      <c r="C153" s="5" t="str">
        <f>'pampers-en_gb'!E32</f>
        <v>Pampers® Fresh Clean 0% Plastic Wipe</v>
      </c>
      <c r="D153" s="5" t="str">
        <f>'pampers-en_gb'!B32</f>
        <v>Pampers</v>
      </c>
      <c r="E153" s="5" t="str">
        <f>'pampers-en_gb'!D32</f>
        <v>Inactive</v>
      </c>
      <c r="F153" s="17">
        <f>'pampers-en_gb'!M32</f>
        <v>64</v>
      </c>
      <c r="G153" s="17">
        <f>'pampers-en_gb'!M32</f>
        <v>64</v>
      </c>
      <c r="H153" s="4" t="s">
        <v>1613</v>
      </c>
      <c r="I153" s="4" t="s">
        <v>1480</v>
      </c>
      <c r="J153" s="4" t="s">
        <v>1614</v>
      </c>
      <c r="K153" s="4" t="s">
        <v>1490</v>
      </c>
      <c r="L153" s="4"/>
      <c r="M153" s="4"/>
      <c r="N153" s="4"/>
    </row>
    <row r="154" spans="1:14" ht="60" x14ac:dyDescent="0.35">
      <c r="A154" s="4" t="s">
        <v>1547</v>
      </c>
      <c r="B154" s="5" t="str">
        <f>'pampers-en_us'!C23</f>
        <v>10900829</v>
      </c>
      <c r="C154" s="5" t="str">
        <f>'pampers-en_us'!E23</f>
        <v>Pampers® ThickCare Unscented Wipes</v>
      </c>
      <c r="D154" s="5" t="str">
        <f>'pampers-en_us'!B23</f>
        <v>Pampers</v>
      </c>
      <c r="E154" s="5" t="str">
        <f>'pampers-en_us'!D23</f>
        <v>Inactive</v>
      </c>
      <c r="F154" s="17">
        <f>'pampers-en_us'!M23</f>
        <v>58</v>
      </c>
      <c r="G154" s="17">
        <f>'pampers-en_us'!M23</f>
        <v>58</v>
      </c>
      <c r="H154" s="4" t="s">
        <v>1613</v>
      </c>
      <c r="I154" s="4" t="s">
        <v>1480</v>
      </c>
      <c r="J154" s="4" t="s">
        <v>1614</v>
      </c>
      <c r="K154" s="4" t="s">
        <v>1490</v>
      </c>
      <c r="L154" s="4"/>
      <c r="M154" s="4"/>
      <c r="N154" s="4"/>
    </row>
    <row r="155" spans="1:14" ht="60" x14ac:dyDescent="0.35">
      <c r="A155" s="4" t="s">
        <v>1549</v>
      </c>
      <c r="B155" s="5" t="str">
        <f>'pampers-en_gb'!C44</f>
        <v>PAMPERS_PREMIUM_PROTECTION_NEW_BABY_WIPES</v>
      </c>
      <c r="C155" s="5">
        <f>'pampers-en_gb'!E44</f>
        <v>0</v>
      </c>
      <c r="D155" s="5">
        <f>'pampers-en_gb'!B44</f>
        <v>0</v>
      </c>
      <c r="E155" s="5" t="str">
        <f>'pampers-en_gb'!D44</f>
        <v>Inactive</v>
      </c>
      <c r="F155" s="17">
        <f>'pampers-en_gb'!M44</f>
        <v>57</v>
      </c>
      <c r="G155" s="17">
        <f>'pampers-en_gb'!M44</f>
        <v>57</v>
      </c>
      <c r="H155" s="4" t="s">
        <v>1613</v>
      </c>
      <c r="I155" s="4" t="s">
        <v>1480</v>
      </c>
      <c r="J155" s="4" t="s">
        <v>1614</v>
      </c>
      <c r="K155" s="4" t="s">
        <v>1490</v>
      </c>
      <c r="L155" s="4"/>
      <c r="M155" s="4"/>
      <c r="N155" s="4"/>
    </row>
    <row r="156" spans="1:14" ht="60" x14ac:dyDescent="0.35">
      <c r="A156" s="4" t="s">
        <v>1549</v>
      </c>
      <c r="B156" s="5" t="str">
        <f>'pampers-en_gb'!C12</f>
        <v>Harmonie_99percent_Water</v>
      </c>
      <c r="C156" s="5" t="str">
        <f>'pampers-en_gb'!E12</f>
        <v>Pampers® 99% Water Wipe</v>
      </c>
      <c r="D156" s="5" t="str">
        <f>'pampers-en_gb'!B12</f>
        <v>Pampers</v>
      </c>
      <c r="E156" s="5" t="str">
        <f>'pampers-en_gb'!D12</f>
        <v>Inactive</v>
      </c>
      <c r="F156" s="17">
        <f>'pampers-en_gb'!M12</f>
        <v>56</v>
      </c>
      <c r="G156" s="17">
        <f>'pampers-en_gb'!M12</f>
        <v>56</v>
      </c>
      <c r="H156" s="4" t="s">
        <v>1613</v>
      </c>
      <c r="I156" s="4" t="s">
        <v>1480</v>
      </c>
      <c r="J156" s="4" t="s">
        <v>1614</v>
      </c>
      <c r="K156" s="4" t="s">
        <v>1490</v>
      </c>
      <c r="L156" s="4"/>
      <c r="M156" s="4"/>
      <c r="N156" s="4"/>
    </row>
    <row r="157" spans="1:14" ht="60" x14ac:dyDescent="0.35">
      <c r="A157" s="4" t="s">
        <v>1551</v>
      </c>
      <c r="B157" s="5" t="str">
        <f>'pampers-fr_fr'!C50</f>
        <v>Pampers_Harmonie_Aqua_0_plastic</v>
      </c>
      <c r="C157" s="5" t="str">
        <f>'pampers-fr_fr'!E50</f>
        <v>Pampers® Harmonie Aqua 0% Plastique</v>
      </c>
      <c r="D157" s="5" t="str">
        <f>'pampers-fr_fr'!B50</f>
        <v>Pampers</v>
      </c>
      <c r="E157" s="5" t="str">
        <f>'pampers-fr_fr'!D50</f>
        <v>Inactive</v>
      </c>
      <c r="F157" s="17">
        <f>'pampers-fr_fr'!M50</f>
        <v>56</v>
      </c>
      <c r="G157" s="17">
        <f>'pampers-fr_fr'!M50</f>
        <v>56</v>
      </c>
      <c r="H157" s="4" t="s">
        <v>1613</v>
      </c>
      <c r="I157" s="4" t="s">
        <v>1480</v>
      </c>
      <c r="J157" s="4" t="s">
        <v>1614</v>
      </c>
      <c r="K157" s="4" t="s">
        <v>1490</v>
      </c>
      <c r="L157" s="4"/>
      <c r="M157" s="4"/>
      <c r="N157" s="4"/>
    </row>
    <row r="158" spans="1:14" ht="60" x14ac:dyDescent="0.35">
      <c r="A158" s="4" t="s">
        <v>1548</v>
      </c>
      <c r="B158" s="5" t="str">
        <f>'pampers-es'!C29</f>
        <v>261057383</v>
      </c>
      <c r="C158" s="5" t="str">
        <f>'pampers-es'!E29</f>
        <v>Toallitas Pampers Natural Clean</v>
      </c>
      <c r="D158" s="5" t="str">
        <f>'pampers-es'!B29</f>
        <v>Pampers</v>
      </c>
      <c r="E158" s="5" t="str">
        <f>'pampers-es'!D29</f>
        <v>Inactive</v>
      </c>
      <c r="F158" s="17">
        <f>'pampers-es'!M29</f>
        <v>55</v>
      </c>
      <c r="G158" s="17">
        <f>'pampers-es'!M29</f>
        <v>55</v>
      </c>
      <c r="H158" s="4" t="s">
        <v>1613</v>
      </c>
      <c r="I158" s="4" t="s">
        <v>1480</v>
      </c>
      <c r="J158" s="4" t="s">
        <v>1614</v>
      </c>
      <c r="K158" s="4" t="s">
        <v>1490</v>
      </c>
      <c r="L158" s="4"/>
      <c r="M158" s="4"/>
      <c r="N158" s="4"/>
    </row>
    <row r="159" spans="1:14" ht="60" x14ac:dyDescent="0.35">
      <c r="A159" s="4" t="s">
        <v>1547</v>
      </c>
      <c r="B159" s="5" t="str">
        <f>'pampers-en_us'!C53</f>
        <v>Pampers_MultiUse</v>
      </c>
      <c r="C159" s="5" t="str">
        <f>'pampers-en_us'!E53</f>
        <v>Pampers® Multi-Use</v>
      </c>
      <c r="D159" s="5" t="str">
        <f>'pampers-en_us'!B53</f>
        <v>Pampers</v>
      </c>
      <c r="E159" s="5" t="str">
        <f>'pampers-en_us'!D53</f>
        <v>Inactive</v>
      </c>
      <c r="F159" s="17">
        <f>'pampers-en_us'!M53</f>
        <v>51</v>
      </c>
      <c r="G159" s="17">
        <f>'pampers-en_us'!M53</f>
        <v>51</v>
      </c>
      <c r="H159" s="4" t="s">
        <v>1613</v>
      </c>
      <c r="I159" s="4" t="s">
        <v>1480</v>
      </c>
      <c r="J159" s="4" t="s">
        <v>1614</v>
      </c>
      <c r="K159" s="4" t="s">
        <v>1490</v>
      </c>
      <c r="L159" s="4"/>
      <c r="M159" s="4"/>
      <c r="N159" s="4"/>
    </row>
    <row r="160" spans="1:14" ht="60" x14ac:dyDescent="0.35">
      <c r="A160" s="4" t="s">
        <v>1547</v>
      </c>
      <c r="B160" s="5" t="str">
        <f>'pampers-en_us'!C20</f>
        <v>80335332</v>
      </c>
      <c r="C160" s="5" t="str">
        <f>'pampers-en_us'!E20</f>
        <v>Expressions Wipes</v>
      </c>
      <c r="D160" s="5" t="str">
        <f>'pampers-en_us'!B20</f>
        <v>Pampers</v>
      </c>
      <c r="E160" s="5" t="str">
        <f>'pampers-en_us'!D20</f>
        <v>Inactive</v>
      </c>
      <c r="F160" s="17">
        <f>'pampers-en_us'!M20</f>
        <v>49</v>
      </c>
      <c r="G160" s="17">
        <f>'pampers-en_us'!M20</f>
        <v>49</v>
      </c>
      <c r="H160" s="4" t="s">
        <v>1613</v>
      </c>
      <c r="I160" s="4" t="s">
        <v>1480</v>
      </c>
      <c r="J160" s="4" t="s">
        <v>1614</v>
      </c>
      <c r="K160" s="4" t="s">
        <v>1490</v>
      </c>
      <c r="L160" s="4"/>
      <c r="M160" s="4"/>
      <c r="N160" s="4"/>
    </row>
    <row r="161" spans="1:14" ht="60" x14ac:dyDescent="0.35">
      <c r="A161" s="4" t="s">
        <v>1547</v>
      </c>
      <c r="B161" s="5" t="str">
        <f>'pampers-en_us'!C78</f>
        <v>37000775843</v>
      </c>
      <c r="C161" s="5" t="str">
        <f>'pampers-en_us'!E78</f>
        <v>Pampers Swaddlers Overnights Diapers Size 6 42 Count</v>
      </c>
      <c r="D161" s="5" t="str">
        <f>'pampers-en_us'!B78</f>
        <v>Pampers</v>
      </c>
      <c r="E161" s="5" t="str">
        <f>'pampers-en_us'!D78</f>
        <v>Inactive</v>
      </c>
      <c r="F161" s="17">
        <f>'pampers-en_us'!M78</f>
        <v>49</v>
      </c>
      <c r="G161" s="17">
        <f>'pampers-en_us'!M78</f>
        <v>49</v>
      </c>
      <c r="H161" s="4" t="s">
        <v>1613</v>
      </c>
      <c r="I161" s="4" t="s">
        <v>1480</v>
      </c>
      <c r="J161" s="4" t="s">
        <v>1614</v>
      </c>
      <c r="K161" s="4" t="s">
        <v>1490</v>
      </c>
      <c r="L161" s="4"/>
      <c r="M161" s="4"/>
      <c r="N161" s="4"/>
    </row>
    <row r="162" spans="1:14" ht="60" x14ac:dyDescent="0.35">
      <c r="A162" s="4" t="s">
        <v>1551</v>
      </c>
      <c r="B162" s="5" t="str">
        <f>'pampers-fr_fr'!C46</f>
        <v>181155344-FR</v>
      </c>
      <c r="C162" s="5" t="str">
        <f>'pampers-fr_fr'!E46</f>
        <v>Pampers Premium Protection New Baby Sensitive</v>
      </c>
      <c r="D162" s="5" t="str">
        <f>'pampers-fr_fr'!B46</f>
        <v>Pampers</v>
      </c>
      <c r="E162" s="5" t="str">
        <f>'pampers-fr_fr'!D46</f>
        <v>Inactive</v>
      </c>
      <c r="F162" s="17">
        <f>'pampers-fr_fr'!M46</f>
        <v>48</v>
      </c>
      <c r="G162" s="17">
        <f>'pampers-fr_fr'!M46</f>
        <v>48</v>
      </c>
      <c r="H162" s="4" t="s">
        <v>1613</v>
      </c>
      <c r="I162" s="4" t="s">
        <v>1480</v>
      </c>
      <c r="J162" s="4" t="s">
        <v>1614</v>
      </c>
      <c r="K162" s="4" t="s">
        <v>1490</v>
      </c>
      <c r="L162" s="4"/>
      <c r="M162" s="4"/>
      <c r="N162" s="4"/>
    </row>
    <row r="163" spans="1:14" ht="60" x14ac:dyDescent="0.35">
      <c r="A163" s="4" t="s">
        <v>1551</v>
      </c>
      <c r="B163" s="5" t="str">
        <f>'pampers-fr_fr'!C43</f>
        <v>PAMPERS_NATURAL_CLEAN</v>
      </c>
      <c r="C163" s="5" t="str">
        <f>'pampers-fr_fr'!E43</f>
        <v>LINGETTES Pampers Natural Clean</v>
      </c>
      <c r="D163" s="5" t="str">
        <f>'pampers-fr_fr'!B43</f>
        <v>Pampers</v>
      </c>
      <c r="E163" s="5" t="str">
        <f>'pampers-fr_fr'!D43</f>
        <v>Inactive</v>
      </c>
      <c r="F163" s="17">
        <f>'pampers-fr_fr'!M43</f>
        <v>47</v>
      </c>
      <c r="G163" s="17">
        <f>'pampers-fr_fr'!M43</f>
        <v>47</v>
      </c>
      <c r="H163" s="4" t="s">
        <v>1613</v>
      </c>
      <c r="I163" s="4" t="s">
        <v>1480</v>
      </c>
      <c r="J163" s="4" t="s">
        <v>1614</v>
      </c>
      <c r="K163" s="4" t="s">
        <v>1490</v>
      </c>
      <c r="L163" s="4"/>
      <c r="M163" s="4"/>
      <c r="N163" s="4"/>
    </row>
    <row r="164" spans="1:14" ht="60" x14ac:dyDescent="0.35">
      <c r="A164" s="4" t="s">
        <v>1551</v>
      </c>
      <c r="B164" s="5" t="str">
        <f>'pampers-fr_fr'!C33</f>
        <v>PAMPERS_HARMONIE_HYBRIDE</v>
      </c>
      <c r="C164" s="5" t="str">
        <f>'pampers-fr_fr'!E33</f>
        <v>Couches Pampers® Harmonie Hybrid</v>
      </c>
      <c r="D164" s="5" t="str">
        <f>'pampers-fr_fr'!B33</f>
        <v>Pampers</v>
      </c>
      <c r="E164" s="5" t="str">
        <f>'pampers-fr_fr'!D33</f>
        <v>Inactive</v>
      </c>
      <c r="F164" s="17">
        <f>'pampers-fr_fr'!M33</f>
        <v>46</v>
      </c>
      <c r="G164" s="17">
        <f>'pampers-fr_fr'!M33</f>
        <v>46</v>
      </c>
      <c r="H164" s="4" t="s">
        <v>1613</v>
      </c>
      <c r="I164" s="4" t="s">
        <v>1480</v>
      </c>
      <c r="J164" s="4" t="s">
        <v>1614</v>
      </c>
      <c r="K164" s="4" t="s">
        <v>1490</v>
      </c>
      <c r="L164" s="4"/>
      <c r="M164" s="4"/>
      <c r="N164" s="4"/>
    </row>
    <row r="165" spans="1:14" ht="60" x14ac:dyDescent="0.35">
      <c r="A165" s="4" t="s">
        <v>1550</v>
      </c>
      <c r="B165" s="5" t="str">
        <f>'pampers-de_de'!C19</f>
        <v>7-DE</v>
      </c>
      <c r="C165" s="5" t="str">
        <f>'pampers-de_de'!E19</f>
        <v>Kandoo</v>
      </c>
      <c r="D165" s="5" t="str">
        <f>'pampers-de_de'!B19</f>
        <v>Pampers</v>
      </c>
      <c r="E165" s="5" t="str">
        <f>'pampers-de_de'!D19</f>
        <v>Inactive</v>
      </c>
      <c r="F165" s="17">
        <f>'pampers-de_de'!M19</f>
        <v>45</v>
      </c>
      <c r="G165" s="17">
        <f>'pampers-de_de'!M19</f>
        <v>45</v>
      </c>
      <c r="H165" s="4" t="s">
        <v>1613</v>
      </c>
      <c r="I165" s="4" t="s">
        <v>1480</v>
      </c>
      <c r="J165" s="4" t="s">
        <v>1614</v>
      </c>
      <c r="K165" s="4" t="s">
        <v>1490</v>
      </c>
      <c r="L165" s="4"/>
      <c r="M165" s="4"/>
      <c r="N165" s="4"/>
    </row>
    <row r="166" spans="1:14" ht="60" x14ac:dyDescent="0.35">
      <c r="A166" s="4" t="s">
        <v>1551</v>
      </c>
      <c r="B166" s="5" t="str">
        <f>'pampers-fr_fr'!C80</f>
        <v>3-FR</v>
      </c>
      <c r="C166" s="5" t="str">
        <f>'pampers-fr_fr'!E80</f>
        <v>Pampers Active Fit</v>
      </c>
      <c r="D166" s="5" t="str">
        <f>'pampers-fr_fr'!B80</f>
        <v>Pampers</v>
      </c>
      <c r="E166" s="5" t="str">
        <f>'pampers-fr_fr'!D80</f>
        <v>Inactive</v>
      </c>
      <c r="F166" s="17">
        <f>'pampers-fr_fr'!M80</f>
        <v>45</v>
      </c>
      <c r="G166" s="17">
        <f>'pampers-fr_fr'!M80</f>
        <v>45</v>
      </c>
      <c r="H166" s="4" t="s">
        <v>1613</v>
      </c>
      <c r="I166" s="4" t="s">
        <v>1480</v>
      </c>
      <c r="J166" s="4" t="s">
        <v>1614</v>
      </c>
      <c r="K166" s="4" t="s">
        <v>1490</v>
      </c>
      <c r="L166" s="4"/>
      <c r="M166" s="4"/>
      <c r="N166" s="4"/>
    </row>
    <row r="167" spans="1:14" ht="60" x14ac:dyDescent="0.35">
      <c r="A167" s="4" t="s">
        <v>1552</v>
      </c>
      <c r="B167" s="5" t="str">
        <f>pgdodotspain!C26</f>
        <v>2190000</v>
      </c>
      <c r="C167" s="5" t="str">
        <f>pgdodotspain!E26</f>
        <v>TOALLITAS Dodot®</v>
      </c>
      <c r="D167" s="5" t="str">
        <f>pgdodotspain!B26</f>
        <v>Pampers</v>
      </c>
      <c r="E167" s="5" t="str">
        <f>pgdodotspain!D26</f>
        <v>Inactive</v>
      </c>
      <c r="F167" s="17">
        <f>pgdodotspain!M26</f>
        <v>45</v>
      </c>
      <c r="G167" s="17">
        <f>pgdodotspain!M26</f>
        <v>45</v>
      </c>
      <c r="H167" s="4" t="s">
        <v>1613</v>
      </c>
      <c r="I167" s="4" t="s">
        <v>1480</v>
      </c>
      <c r="J167" s="4" t="s">
        <v>1614</v>
      </c>
      <c r="K167" s="4" t="s">
        <v>1490</v>
      </c>
      <c r="L167" s="4"/>
      <c r="M167" s="4"/>
      <c r="N167" s="4"/>
    </row>
    <row r="168" spans="1:14" ht="60" x14ac:dyDescent="0.35">
      <c r="A168" s="4" t="s">
        <v>1547</v>
      </c>
      <c r="B168" s="5" t="str">
        <f>'pampers-en_us'!C22</f>
        <v>900801</v>
      </c>
      <c r="C168" s="5">
        <f>'pampers-en_us'!E22</f>
        <v>0</v>
      </c>
      <c r="D168" s="5" t="str">
        <f>'pampers-en_us'!B22</f>
        <v>Pampers</v>
      </c>
      <c r="E168" s="5" t="str">
        <f>'pampers-en_us'!D22</f>
        <v>Inactive</v>
      </c>
      <c r="F168" s="17">
        <f>'pampers-en_us'!M22</f>
        <v>44</v>
      </c>
      <c r="G168" s="17">
        <f>'pampers-en_us'!M22</f>
        <v>44</v>
      </c>
      <c r="H168" s="4" t="s">
        <v>1613</v>
      </c>
      <c r="I168" s="4" t="s">
        <v>1480</v>
      </c>
      <c r="J168" s="4" t="s">
        <v>1614</v>
      </c>
      <c r="K168" s="4" t="s">
        <v>1490</v>
      </c>
      <c r="L168" s="4"/>
      <c r="M168" s="4"/>
      <c r="N168" s="4"/>
    </row>
    <row r="169" spans="1:14" ht="60" x14ac:dyDescent="0.35">
      <c r="A169" s="4" t="s">
        <v>1547</v>
      </c>
      <c r="B169" s="5" t="str">
        <f>'pampers-en_us'!C59</f>
        <v>Pampers_Pure_Hybrid_Cover</v>
      </c>
      <c r="C169" s="5" t="str">
        <f>'pampers-en_us'!E59</f>
        <v>Pampers® Pure Hybrid Cloth Diaper Cover</v>
      </c>
      <c r="D169" s="5" t="str">
        <f>'pampers-en_us'!B59</f>
        <v>Pampers</v>
      </c>
      <c r="E169" s="5" t="str">
        <f>'pampers-en_us'!D59</f>
        <v>Inactive</v>
      </c>
      <c r="F169" s="17">
        <f>'pampers-en_us'!M59</f>
        <v>43</v>
      </c>
      <c r="G169" s="17">
        <f>'pampers-en_us'!M59</f>
        <v>43</v>
      </c>
      <c r="H169" s="4" t="s">
        <v>1613</v>
      </c>
      <c r="I169" s="4" t="s">
        <v>1480</v>
      </c>
      <c r="J169" s="4" t="s">
        <v>1614</v>
      </c>
      <c r="K169" s="4" t="s">
        <v>1490</v>
      </c>
      <c r="L169" s="4"/>
      <c r="M169" s="4"/>
      <c r="N169" s="4"/>
    </row>
    <row r="170" spans="1:14" ht="60" x14ac:dyDescent="0.35">
      <c r="A170" s="4" t="s">
        <v>1548</v>
      </c>
      <c r="B170" s="5" t="str">
        <f>'pampers-es'!C30</f>
        <v>EASYUPS_BOYS_GIRLS</v>
      </c>
      <c r="C170" s="5" t="str">
        <f>'pampers-es'!E30</f>
        <v>Pampers® Easy Ups™</v>
      </c>
      <c r="D170" s="5" t="str">
        <f>'pampers-es'!B30</f>
        <v>Pampers</v>
      </c>
      <c r="E170" s="5" t="str">
        <f>'pampers-es'!D30</f>
        <v>Inactive</v>
      </c>
      <c r="F170" s="17">
        <f>'pampers-es'!M30</f>
        <v>43</v>
      </c>
      <c r="G170" s="17">
        <f>'pampers-es'!M30</f>
        <v>43</v>
      </c>
      <c r="H170" s="4" t="s">
        <v>1613</v>
      </c>
      <c r="I170" s="4" t="s">
        <v>1480</v>
      </c>
      <c r="J170" s="4" t="s">
        <v>1614</v>
      </c>
      <c r="K170" s="4" t="s">
        <v>1490</v>
      </c>
      <c r="L170" s="4"/>
      <c r="M170" s="4"/>
      <c r="N170" s="4"/>
    </row>
    <row r="171" spans="1:14" ht="60" x14ac:dyDescent="0.35">
      <c r="A171" s="4" t="s">
        <v>1547</v>
      </c>
      <c r="B171" s="5" t="str">
        <f>'pampers-en_us'!C128</f>
        <v>Pampers_Lumi_SmartSleepSystem</v>
      </c>
      <c r="C171" s="5" t="str">
        <f>'pampers-en_us'!E128</f>
        <v>Smart Sleep System</v>
      </c>
      <c r="D171" s="5">
        <f>'pampers-en_us'!B128</f>
        <v>0</v>
      </c>
      <c r="E171" s="5" t="str">
        <f>'pampers-en_us'!D128</f>
        <v>Inactive</v>
      </c>
      <c r="F171" s="17">
        <f>'pampers-en_us'!M128</f>
        <v>42</v>
      </c>
      <c r="G171" s="17">
        <f>'pampers-en_us'!M128</f>
        <v>42</v>
      </c>
      <c r="H171" s="4" t="s">
        <v>1613</v>
      </c>
      <c r="I171" s="4" t="s">
        <v>1480</v>
      </c>
      <c r="J171" s="4" t="s">
        <v>1614</v>
      </c>
      <c r="K171" s="4" t="s">
        <v>1490</v>
      </c>
      <c r="L171" s="4"/>
      <c r="M171" s="4"/>
      <c r="N171" s="4"/>
    </row>
    <row r="172" spans="1:14" ht="60" x14ac:dyDescent="0.35">
      <c r="A172" s="4" t="s">
        <v>1550</v>
      </c>
      <c r="B172" s="5" t="str">
        <f>'pampers-de_de'!C42</f>
        <v>4-DE</v>
      </c>
      <c r="C172" s="5">
        <f>'pampers-de_de'!E42</f>
        <v>0</v>
      </c>
      <c r="D172" s="5">
        <f>'pampers-de_de'!B42</f>
        <v>0</v>
      </c>
      <c r="E172" s="5" t="str">
        <f>'pampers-de_de'!D42</f>
        <v>Inactive</v>
      </c>
      <c r="F172" s="17">
        <f>'pampers-de_de'!M42</f>
        <v>42</v>
      </c>
      <c r="G172" s="17">
        <f>'pampers-de_de'!M42</f>
        <v>42</v>
      </c>
      <c r="H172" s="4" t="s">
        <v>1613</v>
      </c>
      <c r="I172" s="4" t="s">
        <v>1480</v>
      </c>
      <c r="J172" s="4" t="s">
        <v>1614</v>
      </c>
      <c r="K172" s="4" t="s">
        <v>1490</v>
      </c>
      <c r="L172" s="4"/>
      <c r="M172" s="4"/>
      <c r="N172" s="4"/>
    </row>
    <row r="173" spans="1:14" ht="60" x14ac:dyDescent="0.35">
      <c r="A173" s="4" t="s">
        <v>1547</v>
      </c>
      <c r="B173" s="5" t="str">
        <f>'pampers-en_us'!C40</f>
        <v>Pampers_SSC_SmartSleepCoachSubscription</v>
      </c>
      <c r="C173" s="5" t="str">
        <f>'pampers-en_us'!E40</f>
        <v>Smart Sleep Coach</v>
      </c>
      <c r="D173" s="5" t="str">
        <f>'pampers-en_us'!B40</f>
        <v>LUMI</v>
      </c>
      <c r="E173" s="5" t="str">
        <f>'pampers-en_us'!D40</f>
        <v>Inactive</v>
      </c>
      <c r="F173" s="17">
        <f>'pampers-en_us'!M40</f>
        <v>41</v>
      </c>
      <c r="G173" s="17">
        <f>'pampers-en_us'!M40</f>
        <v>41</v>
      </c>
      <c r="H173" s="4" t="s">
        <v>1613</v>
      </c>
      <c r="I173" s="4" t="s">
        <v>1480</v>
      </c>
      <c r="J173" s="4" t="s">
        <v>1614</v>
      </c>
      <c r="K173" s="4" t="s">
        <v>1490</v>
      </c>
      <c r="L173" s="4"/>
      <c r="M173" s="4"/>
      <c r="N173" s="4"/>
    </row>
    <row r="174" spans="1:14" ht="60" x14ac:dyDescent="0.35">
      <c r="A174" s="4" t="s">
        <v>1547</v>
      </c>
      <c r="B174" s="5" t="str">
        <f>'pampers-en_us'!C97</f>
        <v>37000940625</v>
      </c>
      <c r="C174" s="5">
        <f>'pampers-en_us'!E97</f>
        <v>0</v>
      </c>
      <c r="D174" s="5">
        <f>'pampers-en_us'!B97</f>
        <v>0</v>
      </c>
      <c r="E174" s="5" t="str">
        <f>'pampers-en_us'!D97</f>
        <v>Inactive</v>
      </c>
      <c r="F174" s="17">
        <f>'pampers-en_us'!M97</f>
        <v>41</v>
      </c>
      <c r="G174" s="17">
        <f>'pampers-en_us'!M97</f>
        <v>41</v>
      </c>
      <c r="H174" s="4" t="s">
        <v>1613</v>
      </c>
      <c r="I174" s="4" t="s">
        <v>1480</v>
      </c>
      <c r="J174" s="4" t="s">
        <v>1614</v>
      </c>
      <c r="K174" s="4" t="s">
        <v>1490</v>
      </c>
      <c r="L174" s="4"/>
      <c r="M174" s="4"/>
      <c r="N174" s="4"/>
    </row>
    <row r="175" spans="1:14" ht="60" x14ac:dyDescent="0.35">
      <c r="A175" s="4" t="s">
        <v>1547</v>
      </c>
      <c r="B175" s="5" t="str">
        <f>'pampers-en_us'!C117</f>
        <v>37000940624</v>
      </c>
      <c r="C175" s="5">
        <f>'pampers-en_us'!E117</f>
        <v>0</v>
      </c>
      <c r="D175" s="5">
        <f>'pampers-en_us'!B117</f>
        <v>0</v>
      </c>
      <c r="E175" s="5" t="str">
        <f>'pampers-en_us'!D117</f>
        <v>Inactive</v>
      </c>
      <c r="F175" s="17">
        <f>'pampers-en_us'!M117</f>
        <v>40</v>
      </c>
      <c r="G175" s="17">
        <f>'pampers-en_us'!M117</f>
        <v>40</v>
      </c>
      <c r="H175" s="4" t="s">
        <v>1613</v>
      </c>
      <c r="I175" s="4" t="s">
        <v>1480</v>
      </c>
      <c r="J175" s="4" t="s">
        <v>1614</v>
      </c>
      <c r="K175" s="4" t="s">
        <v>1490</v>
      </c>
      <c r="L175" s="4"/>
      <c r="M175" s="4"/>
      <c r="N175" s="4"/>
    </row>
    <row r="176" spans="1:14" ht="60" x14ac:dyDescent="0.35">
      <c r="A176" s="4" t="s">
        <v>1551</v>
      </c>
      <c r="B176" s="5" t="str">
        <f>'pampers-fr_fr'!C71</f>
        <v>PAMPERS_NINJAMAS_PYJAMA_PANTS</v>
      </c>
      <c r="C176" s="5" t="str">
        <f>'pampers-fr_fr'!E71</f>
        <v>PAMPERS® NINJAMAS PYJAMA PANTS</v>
      </c>
      <c r="D176" s="5" t="str">
        <f>'pampers-fr_fr'!B71</f>
        <v>Pampers</v>
      </c>
      <c r="E176" s="5" t="str">
        <f>'pampers-fr_fr'!D71</f>
        <v>Inactive</v>
      </c>
      <c r="F176" s="17">
        <f>'pampers-fr_fr'!M71</f>
        <v>40</v>
      </c>
      <c r="G176" s="17">
        <f>'pampers-fr_fr'!M71</f>
        <v>40</v>
      </c>
      <c r="H176" s="4" t="s">
        <v>1613</v>
      </c>
      <c r="I176" s="4" t="s">
        <v>1480</v>
      </c>
      <c r="J176" s="4" t="s">
        <v>1614</v>
      </c>
      <c r="K176" s="4" t="s">
        <v>1490</v>
      </c>
      <c r="L176" s="4"/>
      <c r="M176" s="4"/>
      <c r="N176" s="4"/>
    </row>
    <row r="177" spans="1:14" ht="60" x14ac:dyDescent="0.35">
      <c r="A177" s="4" t="s">
        <v>1551</v>
      </c>
      <c r="B177" s="5" t="str">
        <f>'pampers-fr_fr'!C83</f>
        <v>181082376-FR</v>
      </c>
      <c r="C177" s="5">
        <f>'pampers-fr_fr'!E83</f>
        <v>0</v>
      </c>
      <c r="D177" s="5">
        <f>'pampers-fr_fr'!B83</f>
        <v>0</v>
      </c>
      <c r="E177" s="5" t="str">
        <f>'pampers-fr_fr'!D83</f>
        <v>Inactive</v>
      </c>
      <c r="F177" s="17">
        <f>'pampers-fr_fr'!M83</f>
        <v>40</v>
      </c>
      <c r="G177" s="17">
        <f>'pampers-fr_fr'!M83</f>
        <v>40</v>
      </c>
      <c r="H177" s="4" t="s">
        <v>1613</v>
      </c>
      <c r="I177" s="4" t="s">
        <v>1480</v>
      </c>
      <c r="J177" s="4" t="s">
        <v>1614</v>
      </c>
      <c r="K177" s="4" t="s">
        <v>1490</v>
      </c>
      <c r="L177" s="4"/>
      <c r="M177" s="4"/>
      <c r="N177" s="4"/>
    </row>
    <row r="178" spans="1:14" ht="60" x14ac:dyDescent="0.35">
      <c r="A178" s="4" t="s">
        <v>1548</v>
      </c>
      <c r="B178" s="5" t="str">
        <f>'pampers-es'!C19</f>
        <v>261044145</v>
      </c>
      <c r="C178" s="5" t="str">
        <f>'pampers-es'!E19</f>
        <v>Calzoncitos de entrenamiento Pampers® Easy Ups para niños</v>
      </c>
      <c r="D178" s="5" t="str">
        <f>'pampers-es'!B19</f>
        <v>Pampers</v>
      </c>
      <c r="E178" s="5" t="str">
        <f>'pampers-es'!D19</f>
        <v>Inactive</v>
      </c>
      <c r="F178" s="17">
        <f>'pampers-es'!M19</f>
        <v>39</v>
      </c>
      <c r="G178" s="17">
        <f>'pampers-es'!M19</f>
        <v>39</v>
      </c>
      <c r="H178" s="4" t="s">
        <v>1613</v>
      </c>
      <c r="I178" s="4" t="s">
        <v>1480</v>
      </c>
      <c r="J178" s="4" t="s">
        <v>1614</v>
      </c>
      <c r="K178" s="4" t="s">
        <v>1490</v>
      </c>
      <c r="L178" s="4"/>
      <c r="M178" s="4"/>
      <c r="N178" s="4"/>
    </row>
    <row r="179" spans="1:14" ht="60" x14ac:dyDescent="0.35">
      <c r="A179" s="4" t="s">
        <v>1549</v>
      </c>
      <c r="B179" s="5" t="str">
        <f>'pampers-en_gb'!C25</f>
        <v>pampers-new-baby-sensitive-wipes</v>
      </c>
      <c r="C179" s="5" t="str">
        <f>'pampers-en_gb'!E25</f>
        <v>Pampers® New Baby Wipes</v>
      </c>
      <c r="D179" s="5" t="str">
        <f>'pampers-en_gb'!B25</f>
        <v>Pampers</v>
      </c>
      <c r="E179" s="5" t="str">
        <f>'pampers-en_gb'!D25</f>
        <v>Inactive</v>
      </c>
      <c r="F179" s="17">
        <f>'pampers-en_gb'!M25</f>
        <v>39</v>
      </c>
      <c r="G179" s="17">
        <f>'pampers-en_gb'!M25</f>
        <v>39</v>
      </c>
      <c r="H179" s="4" t="s">
        <v>1613</v>
      </c>
      <c r="I179" s="4" t="s">
        <v>1480</v>
      </c>
      <c r="J179" s="4" t="s">
        <v>1614</v>
      </c>
      <c r="K179" s="4" t="s">
        <v>1490</v>
      </c>
      <c r="L179" s="4"/>
      <c r="M179" s="4"/>
      <c r="N179" s="4"/>
    </row>
    <row r="180" spans="1:14" ht="60" x14ac:dyDescent="0.35">
      <c r="A180" s="4" t="s">
        <v>1547</v>
      </c>
      <c r="B180" s="5" t="str">
        <f>'pampers-en_us'!C37</f>
        <v>10900807</v>
      </c>
      <c r="C180" s="5" t="str">
        <f>'pampers-en_us'!E37</f>
        <v>Pampers® Sensitive Baby Wipes</v>
      </c>
      <c r="D180" s="5" t="str">
        <f>'pampers-en_us'!B37</f>
        <v>Pampers</v>
      </c>
      <c r="E180" s="5" t="str">
        <f>'pampers-en_us'!D37</f>
        <v>Inactive</v>
      </c>
      <c r="F180" s="17">
        <f>'pampers-en_us'!M37</f>
        <v>38</v>
      </c>
      <c r="G180" s="17">
        <f>'pampers-en_us'!M37</f>
        <v>38</v>
      </c>
      <c r="H180" s="4" t="s">
        <v>1613</v>
      </c>
      <c r="I180" s="4" t="s">
        <v>1480</v>
      </c>
      <c r="J180" s="4" t="s">
        <v>1614</v>
      </c>
      <c r="K180" s="4" t="s">
        <v>1490</v>
      </c>
      <c r="L180" s="4"/>
      <c r="M180" s="4"/>
      <c r="N180" s="4"/>
    </row>
    <row r="181" spans="1:14" ht="60" x14ac:dyDescent="0.35">
      <c r="A181" s="4" t="s">
        <v>1547</v>
      </c>
      <c r="B181" s="5" t="str">
        <f>'pampers-en_us'!C11</f>
        <v>10900805</v>
      </c>
      <c r="C181" s="5" t="str">
        <f>'pampers-en_us'!E11</f>
        <v>Easy Ups Trainers for Boys</v>
      </c>
      <c r="D181" s="5" t="str">
        <f>'pampers-en_us'!B11</f>
        <v>Pampers</v>
      </c>
      <c r="E181" s="5" t="str">
        <f>'pampers-en_us'!D11</f>
        <v>Inactive</v>
      </c>
      <c r="F181" s="17">
        <f>'pampers-en_us'!M11</f>
        <v>37</v>
      </c>
      <c r="G181" s="17">
        <f>'pampers-en_us'!M11</f>
        <v>37</v>
      </c>
      <c r="H181" s="4" t="s">
        <v>1613</v>
      </c>
      <c r="I181" s="4" t="s">
        <v>1480</v>
      </c>
      <c r="J181" s="4" t="s">
        <v>1614</v>
      </c>
      <c r="K181" s="4" t="s">
        <v>1490</v>
      </c>
      <c r="L181" s="4"/>
      <c r="M181" s="4"/>
      <c r="N181" s="4"/>
    </row>
    <row r="182" spans="1:14" ht="60" x14ac:dyDescent="0.35">
      <c r="A182" s="4" t="s">
        <v>1549</v>
      </c>
      <c r="B182" s="5" t="str">
        <f>'pampers-en_gb'!C33</f>
        <v>PAMPERS_SENSITIVE_PLASTIC_FREE</v>
      </c>
      <c r="C182" s="5" t="str">
        <f>'pampers-en_gb'!E33</f>
        <v>Pampers® Sensitive™ 0% Plastic</v>
      </c>
      <c r="D182" s="5" t="str">
        <f>'pampers-en_gb'!B33</f>
        <v>Pampers</v>
      </c>
      <c r="E182" s="5" t="str">
        <f>'pampers-en_gb'!D33</f>
        <v>Inactive</v>
      </c>
      <c r="F182" s="17">
        <f>'pampers-en_gb'!M33</f>
        <v>36</v>
      </c>
      <c r="G182" s="17">
        <f>'pampers-en_gb'!M33</f>
        <v>36</v>
      </c>
      <c r="H182" s="4" t="s">
        <v>1619</v>
      </c>
      <c r="I182" s="4" t="s">
        <v>1480</v>
      </c>
      <c r="J182" s="4" t="s">
        <v>1614</v>
      </c>
      <c r="K182" s="4" t="s">
        <v>1490</v>
      </c>
      <c r="L182" s="4"/>
      <c r="M182" s="4"/>
      <c r="N182" s="4"/>
    </row>
    <row r="183" spans="1:14" ht="60" x14ac:dyDescent="0.35">
      <c r="A183" s="4" t="s">
        <v>1548</v>
      </c>
      <c r="B183" s="5" t="str">
        <f>'pampers-es'!C16</f>
        <v>261044151</v>
      </c>
      <c r="C183" s="5" t="str">
        <f>'pampers-es'!E16</f>
        <v>Calzoncitos de entrenamiento Pampers® Easy Ups para niñas</v>
      </c>
      <c r="D183" s="5" t="str">
        <f>'pampers-es'!B16</f>
        <v>Pampers</v>
      </c>
      <c r="E183" s="5" t="str">
        <f>'pampers-es'!D16</f>
        <v>Inactive</v>
      </c>
      <c r="F183" s="17">
        <f>'pampers-es'!M16</f>
        <v>32</v>
      </c>
      <c r="G183" s="17">
        <f>'pampers-es'!M16</f>
        <v>32</v>
      </c>
      <c r="H183" s="4" t="s">
        <v>1613</v>
      </c>
      <c r="I183" s="4" t="s">
        <v>1480</v>
      </c>
      <c r="J183" s="4" t="s">
        <v>1614</v>
      </c>
      <c r="K183" s="4" t="s">
        <v>1490</v>
      </c>
      <c r="L183" s="4"/>
      <c r="M183" s="4"/>
      <c r="N183" s="4"/>
    </row>
    <row r="184" spans="1:14" ht="60" x14ac:dyDescent="0.35">
      <c r="A184" s="4" t="s">
        <v>1548</v>
      </c>
      <c r="B184" s="5" t="str">
        <f>'pampers-es'!C31</f>
        <v>261044284</v>
      </c>
      <c r="C184" s="5" t="str">
        <f>'pampers-es'!E31</f>
        <v>Pampers® Splashers™</v>
      </c>
      <c r="D184" s="5" t="str">
        <f>'pampers-es'!B31</f>
        <v>Pampers</v>
      </c>
      <c r="E184" s="5" t="str">
        <f>'pampers-es'!D31</f>
        <v>Inactive</v>
      </c>
      <c r="F184" s="17">
        <f>'pampers-es'!M31</f>
        <v>31</v>
      </c>
      <c r="G184" s="17">
        <f>'pampers-es'!M31</f>
        <v>31</v>
      </c>
      <c r="H184" s="4" t="s">
        <v>1613</v>
      </c>
      <c r="I184" s="4" t="s">
        <v>1480</v>
      </c>
      <c r="J184" s="4" t="s">
        <v>1614</v>
      </c>
      <c r="K184" s="4" t="s">
        <v>1490</v>
      </c>
      <c r="L184" s="4"/>
      <c r="M184" s="4"/>
      <c r="N184" s="4"/>
    </row>
    <row r="185" spans="1:14" ht="60" x14ac:dyDescent="0.35">
      <c r="A185" s="4" t="s">
        <v>1551</v>
      </c>
      <c r="B185" s="5" t="str">
        <f>'pampers-fr_fr'!C72</f>
        <v>12-FR</v>
      </c>
      <c r="C185" s="5" t="str">
        <f>'pampers-fr_fr'!E72</f>
        <v>Pampers Simply Dry</v>
      </c>
      <c r="D185" s="5" t="str">
        <f>'pampers-fr_fr'!B72</f>
        <v>Pampers</v>
      </c>
      <c r="E185" s="5" t="str">
        <f>'pampers-fr_fr'!D72</f>
        <v>Inactive</v>
      </c>
      <c r="F185" s="17">
        <f>'pampers-fr_fr'!M72</f>
        <v>31</v>
      </c>
      <c r="G185" s="17">
        <f>'pampers-fr_fr'!M72</f>
        <v>31</v>
      </c>
      <c r="H185" s="4" t="s">
        <v>1613</v>
      </c>
      <c r="I185" s="4" t="s">
        <v>1480</v>
      </c>
      <c r="J185" s="4" t="s">
        <v>1614</v>
      </c>
      <c r="K185" s="4" t="s">
        <v>1490</v>
      </c>
      <c r="L185" s="4"/>
      <c r="M185" s="4"/>
      <c r="N185" s="4"/>
    </row>
    <row r="186" spans="1:14" ht="60" x14ac:dyDescent="0.35">
      <c r="A186" s="4" t="s">
        <v>1551</v>
      </c>
      <c r="B186" s="5" t="str">
        <f>'pampers-fr_fr'!C12</f>
        <v>181156481-FR</v>
      </c>
      <c r="C186" s="5" t="str">
        <f>'pampers-fr_fr'!E12</f>
        <v>Pampers New Baby</v>
      </c>
      <c r="D186" s="5" t="str">
        <f>'pampers-fr_fr'!B12</f>
        <v>Pampers FR</v>
      </c>
      <c r="E186" s="5" t="str">
        <f>'pampers-fr_fr'!D12</f>
        <v>Inactive</v>
      </c>
      <c r="F186" s="17">
        <f>'pampers-fr_fr'!M12</f>
        <v>30</v>
      </c>
      <c r="G186" s="17">
        <f>'pampers-fr_fr'!M12</f>
        <v>30</v>
      </c>
      <c r="H186" s="4" t="s">
        <v>1613</v>
      </c>
      <c r="I186" s="4" t="s">
        <v>1480</v>
      </c>
      <c r="J186" s="4" t="s">
        <v>1614</v>
      </c>
      <c r="K186" s="4" t="s">
        <v>1490</v>
      </c>
      <c r="L186" s="4"/>
      <c r="M186" s="4"/>
      <c r="N186" s="4"/>
    </row>
    <row r="187" spans="1:14" ht="60" x14ac:dyDescent="0.35">
      <c r="A187" s="4" t="s">
        <v>1548</v>
      </c>
      <c r="B187" s="5" t="str">
        <f>'pampers-es'!C27</f>
        <v>261044282</v>
      </c>
      <c r="C187" s="5" t="str">
        <f>'pampers-es'!E27</f>
        <v>Pampers Baby Dry Extra Protection</v>
      </c>
      <c r="D187" s="5" t="str">
        <f>'pampers-es'!B27</f>
        <v>Pampers</v>
      </c>
      <c r="E187" s="5" t="str">
        <f>'pampers-es'!D27</f>
        <v>Inactive</v>
      </c>
      <c r="F187" s="17">
        <f>'pampers-es'!M27</f>
        <v>28</v>
      </c>
      <c r="G187" s="17">
        <f>'pampers-es'!M27</f>
        <v>28</v>
      </c>
      <c r="H187" s="4" t="s">
        <v>1613</v>
      </c>
      <c r="I187" s="4" t="s">
        <v>1480</v>
      </c>
      <c r="J187" s="4" t="s">
        <v>1614</v>
      </c>
      <c r="K187" s="4" t="s">
        <v>1490</v>
      </c>
      <c r="L187" s="4"/>
      <c r="M187" s="4"/>
      <c r="N187" s="4"/>
    </row>
    <row r="188" spans="1:14" ht="60" x14ac:dyDescent="0.35">
      <c r="A188" s="4" t="s">
        <v>1550</v>
      </c>
      <c r="B188" s="5" t="str">
        <f>'pampers-de_de'!C20</f>
        <v>21-DE</v>
      </c>
      <c r="C188" s="5" t="str">
        <f>'pampers-de_de'!E20</f>
        <v>Pampers Bed Mats</v>
      </c>
      <c r="D188" s="5" t="str">
        <f>'pampers-de_de'!B20</f>
        <v>Pampers</v>
      </c>
      <c r="E188" s="5" t="str">
        <f>'pampers-de_de'!D20</f>
        <v>Inactive</v>
      </c>
      <c r="F188" s="17">
        <f>'pampers-de_de'!M20</f>
        <v>27</v>
      </c>
      <c r="G188" s="17">
        <f>'pampers-de_de'!M20</f>
        <v>27</v>
      </c>
      <c r="H188" s="4" t="s">
        <v>1613</v>
      </c>
      <c r="I188" s="4" t="s">
        <v>1480</v>
      </c>
      <c r="J188" s="4" t="s">
        <v>1614</v>
      </c>
      <c r="K188" s="4" t="s">
        <v>1490</v>
      </c>
      <c r="L188" s="4"/>
      <c r="M188" s="4"/>
      <c r="N188" s="4"/>
    </row>
    <row r="189" spans="1:14" ht="60" x14ac:dyDescent="0.35">
      <c r="A189" s="4" t="s">
        <v>1552</v>
      </c>
      <c r="B189" s="5" t="str">
        <f>pgdodotspain!C9</f>
        <v>2200000</v>
      </c>
      <c r="C189" s="5" t="str">
        <f>pgdodotspain!E9</f>
        <v>Toallitas Dodot Básico</v>
      </c>
      <c r="D189" s="5" t="str">
        <f>pgdodotspain!B9</f>
        <v>Dodot</v>
      </c>
      <c r="E189" s="5" t="str">
        <f>pgdodotspain!D9</f>
        <v>Inactive</v>
      </c>
      <c r="F189" s="17">
        <f>pgdodotspain!M9</f>
        <v>27</v>
      </c>
      <c r="G189" s="17">
        <f>pgdodotspain!M9</f>
        <v>27</v>
      </c>
      <c r="H189" s="4" t="s">
        <v>1613</v>
      </c>
      <c r="I189" s="4" t="s">
        <v>1480</v>
      </c>
      <c r="J189" s="4" t="s">
        <v>1614</v>
      </c>
      <c r="K189" s="4" t="s">
        <v>1490</v>
      </c>
      <c r="L189" s="4"/>
      <c r="M189" s="4"/>
      <c r="N189" s="4"/>
    </row>
    <row r="190" spans="1:14" ht="60" x14ac:dyDescent="0.35">
      <c r="A190" s="4" t="s">
        <v>1553</v>
      </c>
      <c r="B190" s="5" t="str">
        <f>'pampers-ja_jp'!C28</f>
        <v>Pampers_main_line_nightpants</v>
      </c>
      <c r="C190" s="5" t="str">
        <f>'pampers-ja_jp'!E28</f>
        <v>おやすみパンツ</v>
      </c>
      <c r="D190" s="5" t="str">
        <f>'pampers-ja_jp'!B28</f>
        <v>Pampers</v>
      </c>
      <c r="E190" s="5" t="str">
        <f>'pampers-ja_jp'!D28</f>
        <v>Inactive</v>
      </c>
      <c r="F190" s="17">
        <f>'pampers-ja_jp'!M28</f>
        <v>27</v>
      </c>
      <c r="G190" s="17">
        <f>'pampers-ja_jp'!M28</f>
        <v>27</v>
      </c>
      <c r="H190" s="4" t="s">
        <v>1613</v>
      </c>
      <c r="I190" s="4" t="s">
        <v>1480</v>
      </c>
      <c r="J190" s="4" t="s">
        <v>1614</v>
      </c>
      <c r="K190" s="4" t="s">
        <v>1490</v>
      </c>
      <c r="L190" s="4"/>
      <c r="M190" s="4"/>
      <c r="N190" s="4"/>
    </row>
    <row r="191" spans="1:14" ht="60" x14ac:dyDescent="0.35">
      <c r="A191" s="4" t="s">
        <v>1550</v>
      </c>
      <c r="B191" s="5" t="str">
        <f>'pampers-de_de'!C41</f>
        <v>1-DE</v>
      </c>
      <c r="C191" s="5">
        <f>'pampers-de_de'!E41</f>
        <v>0</v>
      </c>
      <c r="D191" s="5">
        <f>'pampers-de_de'!B41</f>
        <v>0</v>
      </c>
      <c r="E191" s="5" t="str">
        <f>'pampers-de_de'!D41</f>
        <v>Inactive</v>
      </c>
      <c r="F191" s="17">
        <f>'pampers-de_de'!M41</f>
        <v>26</v>
      </c>
      <c r="G191" s="17">
        <f>'pampers-de_de'!M41</f>
        <v>26</v>
      </c>
      <c r="H191" s="4" t="s">
        <v>1613</v>
      </c>
      <c r="I191" s="4" t="s">
        <v>1480</v>
      </c>
      <c r="J191" s="4" t="s">
        <v>1614</v>
      </c>
      <c r="K191" s="4" t="s">
        <v>1490</v>
      </c>
      <c r="L191" s="4"/>
      <c r="M191" s="4"/>
      <c r="N191" s="4"/>
    </row>
    <row r="192" spans="1:14" ht="60" x14ac:dyDescent="0.35">
      <c r="A192" s="4" t="s">
        <v>1547</v>
      </c>
      <c r="B192" s="5" t="str">
        <f>'pampers-en_us'!C84</f>
        <v>Cruisers_360</v>
      </c>
      <c r="C192" s="5" t="str">
        <f>'pampers-en_us'!E84</f>
        <v>Pampers® Cruisers 360° Fit™</v>
      </c>
      <c r="D192" s="5" t="str">
        <f>'pampers-en_us'!B84</f>
        <v>Pampers</v>
      </c>
      <c r="E192" s="5" t="str">
        <f>'pampers-en_us'!D84</f>
        <v>Inactive</v>
      </c>
      <c r="F192" s="17">
        <f>'pampers-en_us'!M84</f>
        <v>25</v>
      </c>
      <c r="G192" s="17">
        <f>'pampers-en_us'!M84</f>
        <v>25</v>
      </c>
      <c r="H192" s="4" t="s">
        <v>1613</v>
      </c>
      <c r="I192" s="4" t="s">
        <v>1480</v>
      </c>
      <c r="J192" s="4" t="s">
        <v>1614</v>
      </c>
      <c r="K192" s="4" t="s">
        <v>1490</v>
      </c>
      <c r="L192" s="4"/>
      <c r="M192" s="4"/>
      <c r="N192" s="4"/>
    </row>
    <row r="193" spans="1:14" ht="60" x14ac:dyDescent="0.35">
      <c r="A193" s="4" t="s">
        <v>1551</v>
      </c>
      <c r="B193" s="5" t="str">
        <f>'pampers-fr_fr'!C49</f>
        <v>12-FR2</v>
      </c>
      <c r="C193" s="5" t="str">
        <f>'pampers-fr_fr'!E49</f>
        <v>Pampers® Sleep &amp; Play</v>
      </c>
      <c r="D193" s="5" t="str">
        <f>'pampers-fr_fr'!B49</f>
        <v>Pampers</v>
      </c>
      <c r="E193" s="5" t="str">
        <f>'pampers-fr_fr'!D49</f>
        <v>Inactive</v>
      </c>
      <c r="F193" s="17">
        <f>'pampers-fr_fr'!M49</f>
        <v>24</v>
      </c>
      <c r="G193" s="17">
        <f>'pampers-fr_fr'!M49</f>
        <v>24</v>
      </c>
      <c r="H193" s="4" t="s">
        <v>1613</v>
      </c>
      <c r="I193" s="4" t="s">
        <v>1480</v>
      </c>
      <c r="J193" s="4" t="s">
        <v>1614</v>
      </c>
      <c r="K193" s="4" t="s">
        <v>1490</v>
      </c>
      <c r="L193" s="4"/>
      <c r="M193" s="4"/>
      <c r="N193" s="4"/>
    </row>
    <row r="194" spans="1:14" ht="60" x14ac:dyDescent="0.35">
      <c r="A194" s="4" t="s">
        <v>1547</v>
      </c>
      <c r="B194" s="5" t="str">
        <f>'pampers-en_us'!C9</f>
        <v>10900806</v>
      </c>
      <c r="C194" s="5" t="str">
        <f>'pampers-en_us'!E9</f>
        <v>Easy Ups Trainers for Girls</v>
      </c>
      <c r="D194" s="5" t="str">
        <f>'pampers-en_us'!B9</f>
        <v>Pampers</v>
      </c>
      <c r="E194" s="5" t="str">
        <f>'pampers-en_us'!D9</f>
        <v>Inactive</v>
      </c>
      <c r="F194" s="17">
        <f>'pampers-en_us'!M9</f>
        <v>22</v>
      </c>
      <c r="G194" s="17">
        <f>'pampers-en_us'!M9</f>
        <v>22</v>
      </c>
      <c r="H194" s="4" t="s">
        <v>1613</v>
      </c>
      <c r="I194" s="4" t="s">
        <v>1480</v>
      </c>
      <c r="J194" s="4" t="s">
        <v>1614</v>
      </c>
      <c r="K194" s="4" t="s">
        <v>1490</v>
      </c>
      <c r="L194" s="4"/>
      <c r="M194" s="4"/>
      <c r="N194" s="4"/>
    </row>
    <row r="195" spans="1:14" ht="60" x14ac:dyDescent="0.35">
      <c r="A195" s="4" t="s">
        <v>1547</v>
      </c>
      <c r="B195" s="5" t="str">
        <f>'pampers-en_us'!C24</f>
        <v>900809</v>
      </c>
      <c r="C195" s="5" t="str">
        <f>'pampers-en_us'!E24</f>
        <v>Clean 'n Go Wipes</v>
      </c>
      <c r="D195" s="5" t="str">
        <f>'pampers-en_us'!B24</f>
        <v>Pampers</v>
      </c>
      <c r="E195" s="5" t="str">
        <f>'pampers-en_us'!D24</f>
        <v>Inactive</v>
      </c>
      <c r="F195" s="17">
        <f>'pampers-en_us'!M24</f>
        <v>22</v>
      </c>
      <c r="G195" s="17">
        <f>'pampers-en_us'!M24</f>
        <v>22</v>
      </c>
      <c r="H195" s="4" t="s">
        <v>1613</v>
      </c>
      <c r="I195" s="4" t="s">
        <v>1480</v>
      </c>
      <c r="J195" s="4" t="s">
        <v>1614</v>
      </c>
      <c r="K195" s="4" t="s">
        <v>1490</v>
      </c>
      <c r="L195" s="4"/>
      <c r="M195" s="4"/>
      <c r="N195" s="4"/>
    </row>
    <row r="196" spans="1:14" ht="60" x14ac:dyDescent="0.35">
      <c r="A196" s="4" t="s">
        <v>1547</v>
      </c>
      <c r="B196" s="5" t="str">
        <f>'pampers-en_us'!C34</f>
        <v>10930825</v>
      </c>
      <c r="C196" s="5" t="str">
        <f>'pampers-en_us'!E34</f>
        <v>Pampers® Sensitive ThickCare Baby Wipes</v>
      </c>
      <c r="D196" s="5" t="str">
        <f>'pampers-en_us'!B34</f>
        <v>Pampers</v>
      </c>
      <c r="E196" s="5" t="str">
        <f>'pampers-en_us'!D34</f>
        <v>Inactive</v>
      </c>
      <c r="F196" s="17">
        <f>'pampers-en_us'!M34</f>
        <v>21</v>
      </c>
      <c r="G196" s="17">
        <f>'pampers-en_us'!M34</f>
        <v>21</v>
      </c>
      <c r="H196" s="4" t="s">
        <v>1613</v>
      </c>
      <c r="I196" s="4" t="s">
        <v>1480</v>
      </c>
      <c r="J196" s="4" t="s">
        <v>1614</v>
      </c>
      <c r="K196" s="4" t="s">
        <v>1490</v>
      </c>
      <c r="L196" s="4"/>
      <c r="M196" s="4"/>
      <c r="N196" s="4"/>
    </row>
    <row r="197" spans="1:14" ht="60" x14ac:dyDescent="0.35">
      <c r="A197" s="4" t="s">
        <v>1551</v>
      </c>
      <c r="B197" s="5" t="str">
        <f>'pampers-fr_fr'!C28</f>
        <v>11-FR</v>
      </c>
      <c r="C197" s="5" t="str">
        <f>'pampers-fr_fr'!E28</f>
        <v>Kandoo</v>
      </c>
      <c r="D197" s="5" t="str">
        <f>'pampers-fr_fr'!B28</f>
        <v>Pampers</v>
      </c>
      <c r="E197" s="5" t="str">
        <f>'pampers-fr_fr'!D28</f>
        <v>Inactive</v>
      </c>
      <c r="F197" s="17">
        <f>'pampers-fr_fr'!M28</f>
        <v>20</v>
      </c>
      <c r="G197" s="17">
        <f>'pampers-fr_fr'!M28</f>
        <v>20</v>
      </c>
      <c r="H197" s="4" t="s">
        <v>1613</v>
      </c>
      <c r="I197" s="4" t="s">
        <v>1480</v>
      </c>
      <c r="J197" s="4" t="s">
        <v>1614</v>
      </c>
      <c r="K197" s="4" t="s">
        <v>1490</v>
      </c>
      <c r="L197" s="4"/>
      <c r="M197" s="4"/>
      <c r="N197" s="4"/>
    </row>
    <row r="198" spans="1:14" ht="60" x14ac:dyDescent="0.35">
      <c r="A198" s="4" t="s">
        <v>1553</v>
      </c>
      <c r="B198" s="5" t="str">
        <f>'pampers-ja_jp'!C31</f>
        <v>Pampers_toilet_training</v>
      </c>
      <c r="C198" s="5" t="str">
        <f>'pampers-ja_jp'!E31</f>
        <v>パンパース® 卒業パンツ</v>
      </c>
      <c r="D198" s="5" t="str">
        <f>'pampers-ja_jp'!B31</f>
        <v>Pampers</v>
      </c>
      <c r="E198" s="5" t="str">
        <f>'pampers-ja_jp'!D31</f>
        <v>Inactive</v>
      </c>
      <c r="F198" s="17">
        <f>'pampers-ja_jp'!M31</f>
        <v>20</v>
      </c>
      <c r="G198" s="17">
        <f>'pampers-ja_jp'!M31</f>
        <v>20</v>
      </c>
      <c r="H198" s="4" t="s">
        <v>1613</v>
      </c>
      <c r="I198" s="4" t="s">
        <v>1480</v>
      </c>
      <c r="J198" s="4" t="s">
        <v>1614</v>
      </c>
      <c r="K198" s="4" t="s">
        <v>1490</v>
      </c>
      <c r="L198" s="4"/>
      <c r="M198" s="4"/>
      <c r="N198" s="4"/>
    </row>
    <row r="199" spans="1:14" ht="60" x14ac:dyDescent="0.35">
      <c r="A199" s="4" t="s">
        <v>1549</v>
      </c>
      <c r="B199" s="5" t="str">
        <f>'pampers-en_gb'!C17</f>
        <v>171153601-GB</v>
      </c>
      <c r="C199" s="5" t="str">
        <f>'pampers-en_gb'!E17</f>
        <v>New Baby Sensitive</v>
      </c>
      <c r="D199" s="5" t="str">
        <f>'pampers-en_gb'!B17</f>
        <v>Pampers</v>
      </c>
      <c r="E199" s="5" t="str">
        <f>'pampers-en_gb'!D17</f>
        <v>Inactive</v>
      </c>
      <c r="F199" s="17">
        <f>'pampers-en_gb'!M17</f>
        <v>19</v>
      </c>
      <c r="G199" s="17">
        <f>'pampers-en_gb'!M17</f>
        <v>19</v>
      </c>
      <c r="H199" s="4" t="s">
        <v>1613</v>
      </c>
      <c r="I199" s="4" t="s">
        <v>1480</v>
      </c>
      <c r="J199" s="4" t="s">
        <v>1614</v>
      </c>
      <c r="K199" s="4" t="s">
        <v>1490</v>
      </c>
      <c r="L199" s="4"/>
      <c r="M199" s="4"/>
      <c r="N199" s="4"/>
    </row>
    <row r="200" spans="1:14" ht="60" x14ac:dyDescent="0.35">
      <c r="A200" s="4" t="s">
        <v>1548</v>
      </c>
      <c r="B200" s="5" t="str">
        <f>'pampers-es'!C14</f>
        <v>261044173</v>
      </c>
      <c r="C200" s="5" t="str">
        <f>'pampers-es'!E14</f>
        <v>Toallitas húmedas desechables Kandoo</v>
      </c>
      <c r="D200" s="5" t="str">
        <f>'pampers-es'!B14</f>
        <v>Pampers</v>
      </c>
      <c r="E200" s="5" t="str">
        <f>'pampers-es'!D14</f>
        <v>Inactive</v>
      </c>
      <c r="F200" s="17">
        <f>'pampers-es'!M14</f>
        <v>18</v>
      </c>
      <c r="G200" s="17">
        <f>'pampers-es'!M14</f>
        <v>18</v>
      </c>
      <c r="H200" s="4" t="s">
        <v>1613</v>
      </c>
      <c r="I200" s="4" t="s">
        <v>1480</v>
      </c>
      <c r="J200" s="4" t="s">
        <v>1614</v>
      </c>
      <c r="K200" s="4" t="s">
        <v>1490</v>
      </c>
      <c r="L200" s="4"/>
      <c r="M200" s="4"/>
      <c r="N200" s="4"/>
    </row>
    <row r="201" spans="1:14" ht="60" x14ac:dyDescent="0.35">
      <c r="A201" s="4" t="s">
        <v>1548</v>
      </c>
      <c r="B201" s="5" t="str">
        <f>'pampers-es'!C15</f>
        <v>261044286</v>
      </c>
      <c r="C201" s="5" t="str">
        <f>'pampers-es'!E15</f>
        <v>Jabón de manos espumoso, jabón para el cuerpo y champú</v>
      </c>
      <c r="D201" s="5" t="str">
        <f>'pampers-es'!B15</f>
        <v>Pampers</v>
      </c>
      <c r="E201" s="5" t="str">
        <f>'pampers-es'!D15</f>
        <v>Inactive</v>
      </c>
      <c r="F201" s="17">
        <f>'pampers-es'!M15</f>
        <v>18</v>
      </c>
      <c r="G201" s="17">
        <f>'pampers-es'!M15</f>
        <v>18</v>
      </c>
      <c r="H201" s="4" t="s">
        <v>1613</v>
      </c>
      <c r="I201" s="4" t="s">
        <v>1480</v>
      </c>
      <c r="J201" s="4" t="s">
        <v>1614</v>
      </c>
      <c r="K201" s="4" t="s">
        <v>1490</v>
      </c>
      <c r="L201" s="4"/>
      <c r="M201" s="4"/>
      <c r="N201" s="4"/>
    </row>
    <row r="202" spans="1:14" ht="60" x14ac:dyDescent="0.35">
      <c r="A202" s="4" t="s">
        <v>1547</v>
      </c>
      <c r="B202" s="5" t="str">
        <f>'pampers-en_us'!C29</f>
        <v>761054761</v>
      </c>
      <c r="C202" s="5" t="str">
        <f>'pampers-en_us'!E29</f>
        <v>Pampers® Cruisers USA Prints</v>
      </c>
      <c r="D202" s="5" t="str">
        <f>'pampers-en_us'!B29</f>
        <v>Pampers</v>
      </c>
      <c r="E202" s="5" t="str">
        <f>'pampers-en_us'!D29</f>
        <v>Inactive</v>
      </c>
      <c r="F202" s="17">
        <f>'pampers-en_us'!M29</f>
        <v>17</v>
      </c>
      <c r="G202" s="17">
        <f>'pampers-en_us'!M29</f>
        <v>17</v>
      </c>
      <c r="H202" s="4" t="s">
        <v>1613</v>
      </c>
      <c r="I202" s="4" t="s">
        <v>1480</v>
      </c>
      <c r="J202" s="4" t="s">
        <v>1614</v>
      </c>
      <c r="K202" s="4" t="s">
        <v>1490</v>
      </c>
      <c r="L202" s="4"/>
      <c r="M202" s="4"/>
      <c r="N202" s="4"/>
    </row>
    <row r="203" spans="1:14" ht="72" x14ac:dyDescent="0.35">
      <c r="A203" s="4" t="s">
        <v>1548</v>
      </c>
      <c r="B203" s="5" t="str">
        <f>'pampers-es'!C25</f>
        <v>261044163</v>
      </c>
      <c r="C203" s="5" t="str">
        <f>'pampers-es'!E25</f>
        <v>Ropa interior nocturna absorbente Pampers UnderJams para niños</v>
      </c>
      <c r="D203" s="5" t="str">
        <f>'pampers-es'!B25</f>
        <v>Pampers</v>
      </c>
      <c r="E203" s="5" t="str">
        <f>'pampers-es'!D25</f>
        <v>Inactive</v>
      </c>
      <c r="F203" s="17">
        <f>'pampers-es'!M25</f>
        <v>17</v>
      </c>
      <c r="G203" s="17">
        <f>'pampers-es'!M25</f>
        <v>17</v>
      </c>
      <c r="H203" s="4" t="s">
        <v>1613</v>
      </c>
      <c r="I203" s="4" t="s">
        <v>1480</v>
      </c>
      <c r="J203" s="4" t="s">
        <v>1614</v>
      </c>
      <c r="K203" s="4" t="s">
        <v>1490</v>
      </c>
      <c r="L203" s="4"/>
      <c r="M203" s="4"/>
      <c r="N203" s="4"/>
    </row>
    <row r="204" spans="1:14" ht="60" x14ac:dyDescent="0.35">
      <c r="A204" s="4" t="s">
        <v>1550</v>
      </c>
      <c r="B204" s="5" t="str">
        <f>'pampers-de_de'!C43</f>
        <v>2-DE</v>
      </c>
      <c r="C204" s="5">
        <f>'pampers-de_de'!E43</f>
        <v>0</v>
      </c>
      <c r="D204" s="5">
        <f>'pampers-de_de'!B43</f>
        <v>0</v>
      </c>
      <c r="E204" s="5" t="str">
        <f>'pampers-de_de'!D43</f>
        <v>Inactive</v>
      </c>
      <c r="F204" s="17">
        <f>'pampers-de_de'!M43</f>
        <v>17</v>
      </c>
      <c r="G204" s="17">
        <f>'pampers-de_de'!M43</f>
        <v>17</v>
      </c>
      <c r="H204" s="4" t="s">
        <v>1613</v>
      </c>
      <c r="I204" s="4" t="s">
        <v>1480</v>
      </c>
      <c r="J204" s="4" t="s">
        <v>1614</v>
      </c>
      <c r="K204" s="4" t="s">
        <v>1490</v>
      </c>
      <c r="L204" s="4"/>
      <c r="M204" s="4"/>
      <c r="N204" s="4"/>
    </row>
    <row r="205" spans="1:14" ht="60" x14ac:dyDescent="0.35">
      <c r="A205" s="4" t="s">
        <v>1551</v>
      </c>
      <c r="B205" s="5" t="str">
        <f>'pampers-fr_fr'!C78</f>
        <v>4-FR</v>
      </c>
      <c r="C205" s="5" t="str">
        <f>'pampers-fr_fr'!E78</f>
        <v>Pampers Easy Up</v>
      </c>
      <c r="D205" s="5" t="str">
        <f>'pampers-fr_fr'!B78</f>
        <v>Pampers</v>
      </c>
      <c r="E205" s="5" t="str">
        <f>'pampers-fr_fr'!D78</f>
        <v>Inactive</v>
      </c>
      <c r="F205" s="17">
        <f>'pampers-fr_fr'!M78</f>
        <v>17</v>
      </c>
      <c r="G205" s="17">
        <f>'pampers-fr_fr'!M78</f>
        <v>17</v>
      </c>
      <c r="H205" s="4" t="s">
        <v>1613</v>
      </c>
      <c r="I205" s="4" t="s">
        <v>1480</v>
      </c>
      <c r="J205" s="4" t="s">
        <v>1614</v>
      </c>
      <c r="K205" s="4" t="s">
        <v>1490</v>
      </c>
      <c r="L205" s="4"/>
      <c r="M205" s="4"/>
      <c r="N205" s="4"/>
    </row>
    <row r="206" spans="1:14" ht="60" x14ac:dyDescent="0.35">
      <c r="A206" s="4" t="s">
        <v>1551</v>
      </c>
      <c r="B206" s="5" t="str">
        <f>'pampers-fr_fr'!C14</f>
        <v>181156483-FR</v>
      </c>
      <c r="C206" s="5" t="str">
        <f>'pampers-fr_fr'!E14</f>
        <v>Simply Dry</v>
      </c>
      <c r="D206" s="5" t="str">
        <f>'pampers-fr_fr'!B14</f>
        <v>Pampers FR</v>
      </c>
      <c r="E206" s="5" t="str">
        <f>'pampers-fr_fr'!D14</f>
        <v>Inactive</v>
      </c>
      <c r="F206" s="17">
        <f>'pampers-fr_fr'!M14</f>
        <v>16</v>
      </c>
      <c r="G206" s="17">
        <f>'pampers-fr_fr'!M14</f>
        <v>16</v>
      </c>
      <c r="H206" s="4" t="s">
        <v>1613</v>
      </c>
      <c r="I206" s="4" t="s">
        <v>1480</v>
      </c>
      <c r="J206" s="4" t="s">
        <v>1614</v>
      </c>
      <c r="K206" s="4" t="s">
        <v>1490</v>
      </c>
      <c r="L206" s="4"/>
      <c r="M206" s="4"/>
      <c r="N206" s="4"/>
    </row>
    <row r="207" spans="1:14" ht="60" x14ac:dyDescent="0.35">
      <c r="A207" s="4" t="s">
        <v>1550</v>
      </c>
      <c r="B207" s="5" t="str">
        <f>'pampers-de_de'!C40</f>
        <v>9-DE</v>
      </c>
      <c r="C207" s="5">
        <f>'pampers-de_de'!E40</f>
        <v>0</v>
      </c>
      <c r="D207" s="5">
        <f>'pampers-de_de'!B40</f>
        <v>0</v>
      </c>
      <c r="E207" s="5" t="str">
        <f>'pampers-de_de'!D40</f>
        <v>Inactive</v>
      </c>
      <c r="F207" s="17">
        <f>'pampers-de_de'!M40</f>
        <v>15</v>
      </c>
      <c r="G207" s="17">
        <f>'pampers-de_de'!M40</f>
        <v>15</v>
      </c>
      <c r="H207" s="4" t="s">
        <v>1613</v>
      </c>
      <c r="I207" s="4" t="s">
        <v>1480</v>
      </c>
      <c r="J207" s="4" t="s">
        <v>1614</v>
      </c>
      <c r="K207" s="4" t="s">
        <v>1490</v>
      </c>
      <c r="L207" s="4"/>
      <c r="M207" s="4"/>
      <c r="N207" s="4"/>
    </row>
    <row r="208" spans="1:14" ht="60" x14ac:dyDescent="0.35">
      <c r="A208" s="4" t="s">
        <v>1551</v>
      </c>
      <c r="B208" s="5" t="str">
        <f>'pampers-fr_fr'!C75</f>
        <v>5-FR</v>
      </c>
      <c r="C208" s="5" t="str">
        <f>'pampers-fr_fr'!E75</f>
        <v>Pampers Baby Dry</v>
      </c>
      <c r="D208" s="5" t="str">
        <f>'pampers-fr_fr'!B75</f>
        <v>Pampers</v>
      </c>
      <c r="E208" s="5" t="str">
        <f>'pampers-fr_fr'!D75</f>
        <v>Inactive</v>
      </c>
      <c r="F208" s="17">
        <f>'pampers-fr_fr'!M75</f>
        <v>15</v>
      </c>
      <c r="G208" s="17">
        <f>'pampers-fr_fr'!M75</f>
        <v>15</v>
      </c>
      <c r="H208" s="4" t="s">
        <v>1613</v>
      </c>
      <c r="I208" s="4" t="s">
        <v>1480</v>
      </c>
      <c r="J208" s="4" t="s">
        <v>1614</v>
      </c>
      <c r="K208" s="4" t="s">
        <v>1490</v>
      </c>
      <c r="L208" s="4"/>
      <c r="M208" s="4"/>
      <c r="N208" s="4"/>
    </row>
    <row r="209" spans="1:14" ht="60" x14ac:dyDescent="0.35">
      <c r="A209" s="4" t="s">
        <v>1549</v>
      </c>
      <c r="B209" s="5" t="str">
        <f>'pampers-en_gb'!C9</f>
        <v>171156443-GB</v>
      </c>
      <c r="C209" s="5" t="str">
        <f>'pampers-en_gb'!E9</f>
        <v>WIPES Pampers Complete Clean Scented</v>
      </c>
      <c r="D209" s="5" t="str">
        <f>'pampers-en_gb'!B9</f>
        <v>Pampers</v>
      </c>
      <c r="E209" s="5" t="str">
        <f>'pampers-en_gb'!D9</f>
        <v>Inactive</v>
      </c>
      <c r="F209" s="17">
        <f>'pampers-en_gb'!M9</f>
        <v>14</v>
      </c>
      <c r="G209" s="17">
        <f>'pampers-en_gb'!M9</f>
        <v>14</v>
      </c>
      <c r="H209" s="4" t="s">
        <v>1613</v>
      </c>
      <c r="I209" s="4" t="s">
        <v>1480</v>
      </c>
      <c r="J209" s="4" t="s">
        <v>1614</v>
      </c>
      <c r="K209" s="4" t="s">
        <v>1490</v>
      </c>
      <c r="L209" s="4"/>
      <c r="M209" s="4"/>
      <c r="N209" s="4"/>
    </row>
    <row r="210" spans="1:14" ht="60" x14ac:dyDescent="0.35">
      <c r="A210" s="4" t="s">
        <v>1547</v>
      </c>
      <c r="B210" s="5" t="str">
        <f>'pampers-en_us'!C30</f>
        <v>10900814</v>
      </c>
      <c r="C210" s="5" t="str">
        <f>'pampers-en_us'!E30</f>
        <v>Pampers SoftCare Baby Fresh Wipes</v>
      </c>
      <c r="D210" s="5" t="str">
        <f>'pampers-en_us'!B30</f>
        <v>Pampers</v>
      </c>
      <c r="E210" s="5" t="str">
        <f>'pampers-en_us'!D30</f>
        <v>Inactive</v>
      </c>
      <c r="F210" s="17">
        <f>'pampers-en_us'!M30</f>
        <v>13</v>
      </c>
      <c r="G210" s="17">
        <f>'pampers-en_us'!M30</f>
        <v>13</v>
      </c>
      <c r="H210" s="4" t="s">
        <v>1613</v>
      </c>
      <c r="I210" s="4" t="s">
        <v>1480</v>
      </c>
      <c r="J210" s="4" t="s">
        <v>1614</v>
      </c>
      <c r="K210" s="4" t="s">
        <v>1490</v>
      </c>
      <c r="L210" s="4"/>
      <c r="M210" s="4"/>
      <c r="N210" s="4"/>
    </row>
    <row r="211" spans="1:14" ht="72" x14ac:dyDescent="0.35">
      <c r="A211" s="4" t="s">
        <v>1548</v>
      </c>
      <c r="B211" s="5" t="str">
        <f>'pampers-es'!C26</f>
        <v>261044165</v>
      </c>
      <c r="C211" s="5" t="str">
        <f>'pampers-es'!E26</f>
        <v>Ropa interior nocturna absorbente Pampers UnderJams para niñas</v>
      </c>
      <c r="D211" s="5" t="str">
        <f>'pampers-es'!B26</f>
        <v>Pampers</v>
      </c>
      <c r="E211" s="5" t="str">
        <f>'pampers-es'!D26</f>
        <v>Inactive</v>
      </c>
      <c r="F211" s="17">
        <f>'pampers-es'!M26</f>
        <v>13</v>
      </c>
      <c r="G211" s="17">
        <f>'pampers-es'!M26</f>
        <v>13</v>
      </c>
      <c r="H211" s="4" t="s">
        <v>1613</v>
      </c>
      <c r="I211" s="4" t="s">
        <v>1480</v>
      </c>
      <c r="J211" s="4" t="s">
        <v>1614</v>
      </c>
      <c r="K211" s="4" t="s">
        <v>1490</v>
      </c>
      <c r="L211" s="4"/>
      <c r="M211" s="4"/>
      <c r="N211" s="4"/>
    </row>
    <row r="212" spans="1:14" ht="60" x14ac:dyDescent="0.35">
      <c r="A212" s="4" t="s">
        <v>1552</v>
      </c>
      <c r="B212" s="5" t="str">
        <f>pgdodotspain!C19</f>
        <v>DODOT_ACTIVITY_PANTS</v>
      </c>
      <c r="C212" s="5" t="str">
        <f>pgdodotspain!E19</f>
        <v>PAÑALES-BRAGUITA Dodot® Activity Pants™</v>
      </c>
      <c r="D212" s="5" t="str">
        <f>pgdodotspain!B19</f>
        <v>Pampers</v>
      </c>
      <c r="E212" s="5" t="str">
        <f>pgdodotspain!D19</f>
        <v>Inactive</v>
      </c>
      <c r="F212" s="17">
        <f>pgdodotspain!M19</f>
        <v>13</v>
      </c>
      <c r="G212" s="17">
        <f>pgdodotspain!M19</f>
        <v>13</v>
      </c>
      <c r="H212" s="4" t="s">
        <v>1613</v>
      </c>
      <c r="I212" s="4" t="s">
        <v>1480</v>
      </c>
      <c r="J212" s="4" t="s">
        <v>1614</v>
      </c>
      <c r="K212" s="4" t="s">
        <v>1490</v>
      </c>
      <c r="L212" s="4"/>
      <c r="M212" s="4"/>
      <c r="N212" s="4"/>
    </row>
    <row r="213" spans="1:14" ht="60" x14ac:dyDescent="0.35">
      <c r="A213" s="4" t="s">
        <v>1548</v>
      </c>
      <c r="B213" s="5" t="str">
        <f>'pampers-es'!C21</f>
        <v>10930828</v>
      </c>
      <c r="C213" s="5" t="str">
        <f>'pampers-es'!E21</f>
        <v>Pañales Pampers® Cruisers</v>
      </c>
      <c r="D213" s="5" t="str">
        <f>'pampers-es'!B21</f>
        <v>Pampers</v>
      </c>
      <c r="E213" s="5" t="str">
        <f>'pampers-es'!D21</f>
        <v>Inactive</v>
      </c>
      <c r="F213" s="17">
        <f>'pampers-es'!M21</f>
        <v>12</v>
      </c>
      <c r="G213" s="17">
        <f>'pampers-es'!M21</f>
        <v>12</v>
      </c>
      <c r="H213" s="4" t="s">
        <v>1613</v>
      </c>
      <c r="I213" s="4" t="s">
        <v>1480</v>
      </c>
      <c r="J213" s="4" t="s">
        <v>1614</v>
      </c>
      <c r="K213" s="4" t="s">
        <v>1490</v>
      </c>
      <c r="L213" s="4"/>
      <c r="M213" s="4"/>
      <c r="N213" s="4"/>
    </row>
    <row r="214" spans="1:14" ht="60" x14ac:dyDescent="0.35">
      <c r="A214" s="4" t="s">
        <v>1553</v>
      </c>
      <c r="B214" s="5" t="str">
        <f>'pampers-ja_jp'!C23</f>
        <v>LE_tape_preemie_Star</v>
      </c>
      <c r="C214" s="5" t="str">
        <f>'pampers-ja_jp'!E23</f>
        <v>パンパースはじめての肌へのいちばん 新生児用小さめ 3000ｇ</v>
      </c>
      <c r="D214" s="5" t="str">
        <f>'pampers-ja_jp'!B23</f>
        <v>Pampers</v>
      </c>
      <c r="E214" s="5" t="str">
        <f>'pampers-ja_jp'!D23</f>
        <v>Inactive</v>
      </c>
      <c r="F214" s="17">
        <f>'pampers-ja_jp'!M23</f>
        <v>12</v>
      </c>
      <c r="G214" s="17">
        <f>'pampers-ja_jp'!M23</f>
        <v>12</v>
      </c>
      <c r="H214" s="4" t="s">
        <v>1613</v>
      </c>
      <c r="I214" s="4" t="s">
        <v>1480</v>
      </c>
      <c r="J214" s="4" t="s">
        <v>1614</v>
      </c>
      <c r="K214" s="4" t="s">
        <v>1490</v>
      </c>
      <c r="L214" s="4"/>
      <c r="M214" s="4"/>
      <c r="N214" s="4"/>
    </row>
    <row r="215" spans="1:14" ht="60" x14ac:dyDescent="0.35">
      <c r="A215" s="4" t="s">
        <v>1553</v>
      </c>
      <c r="B215" s="5" t="str">
        <f>'pampers-ja_jp'!C25</f>
        <v>4902430177283</v>
      </c>
      <c r="C215" s="5" t="str">
        <f>'pampers-ja_jp'!E25</f>
        <v>パンパース　卒業パンツ</v>
      </c>
      <c r="D215" s="5" t="str">
        <f>'pampers-ja_jp'!B25</f>
        <v>Pampers</v>
      </c>
      <c r="E215" s="5" t="str">
        <f>'pampers-ja_jp'!D25</f>
        <v>Inactive</v>
      </c>
      <c r="F215" s="17">
        <f>'pampers-ja_jp'!M25</f>
        <v>12</v>
      </c>
      <c r="G215" s="17">
        <f>'pampers-ja_jp'!M25</f>
        <v>12</v>
      </c>
      <c r="H215" s="4" t="s">
        <v>1613</v>
      </c>
      <c r="I215" s="4" t="s">
        <v>1480</v>
      </c>
      <c r="J215" s="4" t="s">
        <v>1614</v>
      </c>
      <c r="K215" s="4" t="s">
        <v>1490</v>
      </c>
      <c r="L215" s="4"/>
      <c r="M215" s="4"/>
      <c r="N215" s="4"/>
    </row>
    <row r="216" spans="1:14" ht="60" x14ac:dyDescent="0.35">
      <c r="A216" s="4" t="s">
        <v>1547</v>
      </c>
      <c r="B216" s="5" t="str">
        <f>'pampers-en_us'!C95</f>
        <v>003700006755</v>
      </c>
      <c r="C216" s="5">
        <f>'pampers-en_us'!E95</f>
        <v>0</v>
      </c>
      <c r="D216" s="5">
        <f>'pampers-en_us'!B95</f>
        <v>0</v>
      </c>
      <c r="E216" s="5" t="str">
        <f>'pampers-en_us'!D95</f>
        <v>Inactive</v>
      </c>
      <c r="F216" s="17">
        <f>'pampers-en_us'!M95</f>
        <v>11</v>
      </c>
      <c r="G216" s="17">
        <f>'pampers-en_us'!M95</f>
        <v>11</v>
      </c>
      <c r="H216" s="4" t="s">
        <v>1613</v>
      </c>
      <c r="I216" s="4" t="s">
        <v>1480</v>
      </c>
      <c r="J216" s="4" t="s">
        <v>1614</v>
      </c>
      <c r="K216" s="4" t="s">
        <v>1490</v>
      </c>
      <c r="L216" s="4"/>
      <c r="M216" s="4"/>
      <c r="N216" s="4"/>
    </row>
    <row r="217" spans="1:14" ht="60" x14ac:dyDescent="0.35">
      <c r="A217" s="4" t="s">
        <v>1547</v>
      </c>
      <c r="B217" s="5" t="str">
        <f>'pampers-en_us'!C115</f>
        <v>Pampers_Diapers_Lumi_Swaddlers</v>
      </c>
      <c r="C217" s="5" t="str">
        <f>'pampers-en_us'!E115</f>
        <v>Swaddlers for Lumi by Pampers</v>
      </c>
      <c r="D217" s="5">
        <f>'pampers-en_us'!B115</f>
        <v>0</v>
      </c>
      <c r="E217" s="5" t="str">
        <f>'pampers-en_us'!D115</f>
        <v>Inactive</v>
      </c>
      <c r="F217" s="17">
        <f>'pampers-en_us'!M115</f>
        <v>11</v>
      </c>
      <c r="G217" s="17">
        <f>'pampers-en_us'!M115</f>
        <v>11</v>
      </c>
      <c r="H217" s="4" t="s">
        <v>1613</v>
      </c>
      <c r="I217" s="4" t="s">
        <v>1480</v>
      </c>
      <c r="J217" s="4" t="s">
        <v>1614</v>
      </c>
      <c r="K217" s="4" t="s">
        <v>1490</v>
      </c>
      <c r="L217" s="4"/>
      <c r="M217" s="4"/>
      <c r="N217" s="4"/>
    </row>
    <row r="218" spans="1:14" ht="60" x14ac:dyDescent="0.35">
      <c r="A218" s="4" t="s">
        <v>1551</v>
      </c>
      <c r="B218" s="5" t="str">
        <f>'pampers-fr_fr'!C9</f>
        <v>181156482-FR</v>
      </c>
      <c r="C218" s="5" t="str">
        <f>'pampers-fr_fr'!E9</f>
        <v>Pampers Active Fit</v>
      </c>
      <c r="D218" s="5" t="str">
        <f>'pampers-fr_fr'!B9</f>
        <v>Pampers FR</v>
      </c>
      <c r="E218" s="5" t="str">
        <f>'pampers-fr_fr'!D9</f>
        <v>Inactive</v>
      </c>
      <c r="F218" s="17">
        <f>'pampers-fr_fr'!M9</f>
        <v>11</v>
      </c>
      <c r="G218" s="17">
        <f>'pampers-fr_fr'!M9</f>
        <v>11</v>
      </c>
      <c r="H218" s="4" t="s">
        <v>1613</v>
      </c>
      <c r="I218" s="4" t="s">
        <v>1480</v>
      </c>
      <c r="J218" s="4" t="s">
        <v>1614</v>
      </c>
      <c r="K218" s="4" t="s">
        <v>1490</v>
      </c>
      <c r="L218" s="4"/>
      <c r="M218" s="4"/>
      <c r="N218" s="4"/>
    </row>
    <row r="219" spans="1:14" ht="60" x14ac:dyDescent="0.35">
      <c r="A219" s="4" t="s">
        <v>1552</v>
      </c>
      <c r="B219" s="5" t="str">
        <f>pgdodotspain!C20</f>
        <v>2170000</v>
      </c>
      <c r="C219" s="5" t="str">
        <f>pgdodotspain!E20</f>
        <v>TOALLITAS Dodot® Básico</v>
      </c>
      <c r="D219" s="5" t="str">
        <f>pgdodotspain!B20</f>
        <v>Pampers</v>
      </c>
      <c r="E219" s="5" t="str">
        <f>pgdodotspain!D20</f>
        <v>Inactive</v>
      </c>
      <c r="F219" s="17">
        <f>pgdodotspain!M20</f>
        <v>11</v>
      </c>
      <c r="G219" s="17">
        <f>pgdodotspain!M20</f>
        <v>11</v>
      </c>
      <c r="H219" s="4" t="s">
        <v>1613</v>
      </c>
      <c r="I219" s="4" t="s">
        <v>1480</v>
      </c>
      <c r="J219" s="4" t="s">
        <v>1614</v>
      </c>
      <c r="K219" s="4" t="s">
        <v>1490</v>
      </c>
      <c r="L219" s="4"/>
      <c r="M219" s="4"/>
      <c r="N219" s="4"/>
    </row>
    <row r="220" spans="1:14" ht="60" x14ac:dyDescent="0.35">
      <c r="A220" s="4" t="s">
        <v>1553</v>
      </c>
      <c r="B220" s="5" t="str">
        <f>'pampers-ja_jp'!C33</f>
        <v>4902430599245</v>
      </c>
      <c r="C220" s="5" t="str">
        <f>'pampers-ja_jp'!E33</f>
        <v>パンパースしっかり吸収パンツ</v>
      </c>
      <c r="D220" s="5" t="str">
        <f>'pampers-ja_jp'!B33</f>
        <v>Pampers</v>
      </c>
      <c r="E220" s="5" t="str">
        <f>'pampers-ja_jp'!D33</f>
        <v>Inactive</v>
      </c>
      <c r="F220" s="17">
        <f>'pampers-ja_jp'!M33</f>
        <v>11</v>
      </c>
      <c r="G220" s="17">
        <f>'pampers-ja_jp'!M33</f>
        <v>11</v>
      </c>
      <c r="H220" s="4" t="s">
        <v>1613</v>
      </c>
      <c r="I220" s="4" t="s">
        <v>1480</v>
      </c>
      <c r="J220" s="4" t="s">
        <v>1614</v>
      </c>
      <c r="K220" s="4" t="s">
        <v>1490</v>
      </c>
      <c r="L220" s="4"/>
      <c r="M220" s="4"/>
      <c r="N220" s="4"/>
    </row>
    <row r="221" spans="1:14" ht="60" x14ac:dyDescent="0.35">
      <c r="A221" s="4" t="s">
        <v>1547</v>
      </c>
      <c r="B221" s="5" t="str">
        <f>'pampers-en_us'!C94</f>
        <v>INFPGID2160755</v>
      </c>
      <c r="C221" s="5">
        <f>'pampers-en_us'!E94</f>
        <v>0</v>
      </c>
      <c r="D221" s="5">
        <f>'pampers-en_us'!B94</f>
        <v>0</v>
      </c>
      <c r="E221" s="5" t="str">
        <f>'pampers-en_us'!D94</f>
        <v>Inactive</v>
      </c>
      <c r="F221" s="17">
        <f>'pampers-en_us'!M94</f>
        <v>10</v>
      </c>
      <c r="G221" s="17">
        <f>'pampers-en_us'!M94</f>
        <v>10</v>
      </c>
      <c r="H221" s="4" t="s">
        <v>1613</v>
      </c>
      <c r="I221" s="4" t="s">
        <v>1480</v>
      </c>
      <c r="J221" s="4" t="s">
        <v>1614</v>
      </c>
      <c r="K221" s="4" t="s">
        <v>1490</v>
      </c>
      <c r="L221" s="4"/>
      <c r="M221" s="4"/>
      <c r="N221" s="4"/>
    </row>
    <row r="222" spans="1:14" ht="60" x14ac:dyDescent="0.35">
      <c r="A222" s="4" t="s">
        <v>1550</v>
      </c>
      <c r="B222" s="5" t="str">
        <f>'pampers-de_de'!C29</f>
        <v>15-DE</v>
      </c>
      <c r="C222" s="5" t="str">
        <f>'pampers-de_de'!E29</f>
        <v>Pampers UnderJams Pyjama Pants - boys</v>
      </c>
      <c r="D222" s="5" t="str">
        <f>'pampers-de_de'!B29</f>
        <v>Pampers</v>
      </c>
      <c r="E222" s="5" t="str">
        <f>'pampers-de_de'!D29</f>
        <v>Inactive</v>
      </c>
      <c r="F222" s="17">
        <f>'pampers-de_de'!M29</f>
        <v>10</v>
      </c>
      <c r="G222" s="17">
        <f>'pampers-de_de'!M29</f>
        <v>10</v>
      </c>
      <c r="H222" s="4" t="s">
        <v>1613</v>
      </c>
      <c r="I222" s="4" t="s">
        <v>1480</v>
      </c>
      <c r="J222" s="4" t="s">
        <v>1614</v>
      </c>
      <c r="K222" s="4" t="s">
        <v>1490</v>
      </c>
      <c r="L222" s="4"/>
      <c r="M222" s="4"/>
      <c r="N222" s="4"/>
    </row>
    <row r="223" spans="1:14" ht="60" x14ac:dyDescent="0.35">
      <c r="A223" s="4" t="s">
        <v>1549</v>
      </c>
      <c r="B223" s="5" t="str">
        <f>'pampers-en_gb'!C22</f>
        <v>171155881-GB</v>
      </c>
      <c r="C223" s="5" t="str">
        <f>'pampers-en_gb'!E22</f>
        <v>Sleep and Play</v>
      </c>
      <c r="D223" s="5" t="str">
        <f>'pampers-en_gb'!B22</f>
        <v>Pampers</v>
      </c>
      <c r="E223" s="5" t="str">
        <f>'pampers-en_gb'!D22</f>
        <v>Inactive</v>
      </c>
      <c r="F223" s="17">
        <f>'pampers-en_gb'!M22</f>
        <v>9</v>
      </c>
      <c r="G223" s="17">
        <f>'pampers-en_gb'!M22</f>
        <v>9</v>
      </c>
      <c r="H223" s="4" t="s">
        <v>1613</v>
      </c>
      <c r="I223" s="4" t="s">
        <v>1480</v>
      </c>
      <c r="J223" s="4" t="s">
        <v>1614</v>
      </c>
      <c r="K223" s="4" t="s">
        <v>1490</v>
      </c>
      <c r="L223" s="4"/>
      <c r="M223" s="4"/>
      <c r="N223" s="4"/>
    </row>
    <row r="224" spans="1:14" ht="60" x14ac:dyDescent="0.35">
      <c r="A224" s="4" t="s">
        <v>1550</v>
      </c>
      <c r="B224" s="5" t="str">
        <f>'pampers-de_de'!C35</f>
        <v>3-DE</v>
      </c>
      <c r="C224" s="5" t="str">
        <f>'pampers-de_de'!E35</f>
        <v>Pampers Easy Up</v>
      </c>
      <c r="D224" s="5" t="str">
        <f>'pampers-de_de'!B35</f>
        <v>Pampers</v>
      </c>
      <c r="E224" s="5" t="str">
        <f>'pampers-de_de'!D35</f>
        <v>Inactive</v>
      </c>
      <c r="F224" s="17">
        <f>'pampers-de_de'!M35</f>
        <v>9</v>
      </c>
      <c r="G224" s="17">
        <f>'pampers-de_de'!M35</f>
        <v>9</v>
      </c>
      <c r="H224" s="4" t="s">
        <v>1613</v>
      </c>
      <c r="I224" s="4" t="s">
        <v>1480</v>
      </c>
      <c r="J224" s="4" t="s">
        <v>1614</v>
      </c>
      <c r="K224" s="4" t="s">
        <v>1490</v>
      </c>
      <c r="L224" s="4"/>
      <c r="M224" s="4"/>
      <c r="N224" s="4"/>
    </row>
    <row r="225" spans="1:14" ht="60" x14ac:dyDescent="0.35">
      <c r="A225" s="4" t="s">
        <v>1547</v>
      </c>
      <c r="B225" s="5" t="str">
        <f>'pampers-en_us'!C25</f>
        <v>900829</v>
      </c>
      <c r="C225" s="5" t="str">
        <f>'pampers-en_us'!E25</f>
        <v>Pampers® ThickCare Unscented Wipes</v>
      </c>
      <c r="D225" s="5" t="str">
        <f>'pampers-en_us'!B25</f>
        <v>Pampers</v>
      </c>
      <c r="E225" s="5" t="str">
        <f>'pampers-en_us'!D25</f>
        <v>Inactive</v>
      </c>
      <c r="F225" s="17">
        <f>'pampers-en_us'!M25</f>
        <v>8</v>
      </c>
      <c r="G225" s="17">
        <f>'pampers-en_us'!M25</f>
        <v>8</v>
      </c>
      <c r="H225" s="4" t="s">
        <v>1613</v>
      </c>
      <c r="I225" s="4" t="s">
        <v>1480</v>
      </c>
      <c r="J225" s="4" t="s">
        <v>1614</v>
      </c>
      <c r="K225" s="4" t="s">
        <v>1490</v>
      </c>
      <c r="L225" s="4"/>
      <c r="M225" s="4"/>
      <c r="N225" s="4"/>
    </row>
    <row r="226" spans="1:14" ht="60" x14ac:dyDescent="0.35">
      <c r="A226" s="4" t="s">
        <v>1547</v>
      </c>
      <c r="B226" s="5" t="str">
        <f>'pampers-en_us'!C38</f>
        <v>10900815</v>
      </c>
      <c r="C226" s="5" t="str">
        <f>'pampers-en_us'!E38</f>
        <v>Pampers® SoftCare Unscented Wipes</v>
      </c>
      <c r="D226" s="5" t="str">
        <f>'pampers-en_us'!B38</f>
        <v>Pampers</v>
      </c>
      <c r="E226" s="5" t="str">
        <f>'pampers-en_us'!D38</f>
        <v>Inactive</v>
      </c>
      <c r="F226" s="17">
        <f>'pampers-en_us'!M38</f>
        <v>8</v>
      </c>
      <c r="G226" s="17">
        <f>'pampers-en_us'!M38</f>
        <v>8</v>
      </c>
      <c r="H226" s="4" t="s">
        <v>1613</v>
      </c>
      <c r="I226" s="4" t="s">
        <v>1480</v>
      </c>
      <c r="J226" s="4" t="s">
        <v>1614</v>
      </c>
      <c r="K226" s="4" t="s">
        <v>1490</v>
      </c>
      <c r="L226" s="4"/>
      <c r="M226" s="4"/>
      <c r="N226" s="4"/>
    </row>
    <row r="227" spans="1:14" ht="60" x14ac:dyDescent="0.35">
      <c r="A227" s="4" t="s">
        <v>1551</v>
      </c>
      <c r="B227" s="5" t="str">
        <f>'pampers-fr_fr'!C17</f>
        <v>PAMPERS_SENSITIVE_ZERO_PLASTIQUE_LINGETTES</v>
      </c>
      <c r="C227" s="5" t="str">
        <f>'pampers-fr_fr'!E17</f>
        <v>Pampers® Sensitive 0% Plastique</v>
      </c>
      <c r="D227" s="5" t="str">
        <f>'pampers-fr_fr'!B17</f>
        <v>Pampers</v>
      </c>
      <c r="E227" s="5" t="str">
        <f>'pampers-fr_fr'!D17</f>
        <v>Inactive</v>
      </c>
      <c r="F227" s="17">
        <f>'pampers-fr_fr'!M17</f>
        <v>8</v>
      </c>
      <c r="G227" s="17">
        <f>'pampers-fr_fr'!M17</f>
        <v>8</v>
      </c>
      <c r="H227" s="4" t="s">
        <v>1613</v>
      </c>
      <c r="I227" s="4" t="s">
        <v>1480</v>
      </c>
      <c r="J227" s="4" t="s">
        <v>1614</v>
      </c>
      <c r="K227" s="4" t="s">
        <v>1490</v>
      </c>
      <c r="L227" s="4"/>
      <c r="M227" s="4"/>
      <c r="N227" s="4"/>
    </row>
    <row r="228" spans="1:14" ht="60" x14ac:dyDescent="0.35">
      <c r="A228" s="4" t="s">
        <v>1552</v>
      </c>
      <c r="B228" s="5" t="str">
        <f>pgdodotspain!C22</f>
        <v>DODOT_PRO_SENSITIVE_PLUS</v>
      </c>
      <c r="C228" s="5" t="str">
        <f>pgdodotspain!E22</f>
        <v>PAÑALES Dodot® Pro-Sensitive+</v>
      </c>
      <c r="D228" s="5" t="str">
        <f>pgdodotspain!B22</f>
        <v>Pampers</v>
      </c>
      <c r="E228" s="5" t="str">
        <f>pgdodotspain!D22</f>
        <v>Inactive</v>
      </c>
      <c r="F228" s="17">
        <f>pgdodotspain!M22</f>
        <v>8</v>
      </c>
      <c r="G228" s="17">
        <f>pgdodotspain!M22</f>
        <v>8</v>
      </c>
      <c r="H228" s="4" t="s">
        <v>1613</v>
      </c>
      <c r="I228" s="4" t="s">
        <v>1480</v>
      </c>
      <c r="J228" s="4" t="s">
        <v>1614</v>
      </c>
      <c r="K228" s="4" t="s">
        <v>1490</v>
      </c>
      <c r="L228" s="4"/>
      <c r="M228" s="4"/>
      <c r="N228" s="4"/>
    </row>
    <row r="229" spans="1:14" ht="60" x14ac:dyDescent="0.35">
      <c r="A229" s="4" t="s">
        <v>1550</v>
      </c>
      <c r="B229" s="5" t="str">
        <f>'pampers-de_de'!C31</f>
        <v>16-DE</v>
      </c>
      <c r="C229" s="5" t="str">
        <f>'pampers-de_de'!E31</f>
        <v>Pampers UnderJams Pyjama Pants - girls</v>
      </c>
      <c r="D229" s="5" t="str">
        <f>'pampers-de_de'!B31</f>
        <v>Pampers</v>
      </c>
      <c r="E229" s="5" t="str">
        <f>'pampers-de_de'!D31</f>
        <v>Inactive</v>
      </c>
      <c r="F229" s="17">
        <f>'pampers-de_de'!M31</f>
        <v>7</v>
      </c>
      <c r="G229" s="17">
        <f>'pampers-de_de'!M31</f>
        <v>7</v>
      </c>
      <c r="H229" s="4" t="s">
        <v>1613</v>
      </c>
      <c r="I229" s="4" t="s">
        <v>1480</v>
      </c>
      <c r="J229" s="4" t="s">
        <v>1614</v>
      </c>
      <c r="K229" s="4" t="s">
        <v>1490</v>
      </c>
      <c r="L229" s="4"/>
      <c r="M229" s="4"/>
      <c r="N229" s="4"/>
    </row>
    <row r="230" spans="1:14" ht="60" x14ac:dyDescent="0.35">
      <c r="A230" s="4" t="s">
        <v>1551</v>
      </c>
      <c r="B230" s="5" t="str">
        <f>'pampers-fr_fr'!C13</f>
        <v>1-FR</v>
      </c>
      <c r="C230" s="5" t="str">
        <f>'pampers-fr_fr'!E13</f>
        <v>Couches Pampers Micro</v>
      </c>
      <c r="D230" s="5" t="str">
        <f>'pampers-fr_fr'!B13</f>
        <v>Pampers FR</v>
      </c>
      <c r="E230" s="5" t="str">
        <f>'pampers-fr_fr'!D13</f>
        <v>Inactive</v>
      </c>
      <c r="F230" s="17">
        <f>'pampers-fr_fr'!M13</f>
        <v>7</v>
      </c>
      <c r="G230" s="17">
        <f>'pampers-fr_fr'!M13</f>
        <v>7</v>
      </c>
      <c r="H230" s="4" t="s">
        <v>1613</v>
      </c>
      <c r="I230" s="4" t="s">
        <v>1480</v>
      </c>
      <c r="J230" s="4" t="s">
        <v>1614</v>
      </c>
      <c r="K230" s="4" t="s">
        <v>1490</v>
      </c>
      <c r="L230" s="4"/>
      <c r="M230" s="4"/>
      <c r="N230" s="4"/>
    </row>
    <row r="231" spans="1:14" ht="60" x14ac:dyDescent="0.35">
      <c r="A231" s="4" t="s">
        <v>1551</v>
      </c>
      <c r="B231" s="5" t="str">
        <f>'pampers-fr_fr'!C79</f>
        <v>FR-af1</v>
      </c>
      <c r="C231" s="5" t="str">
        <f>'pampers-fr_fr'!E79</f>
        <v>Pampers Active Fit</v>
      </c>
      <c r="D231" s="5" t="str">
        <f>'pampers-fr_fr'!B79</f>
        <v>Pampers</v>
      </c>
      <c r="E231" s="5" t="str">
        <f>'pampers-fr_fr'!D79</f>
        <v>Inactive</v>
      </c>
      <c r="F231" s="17">
        <f>'pampers-fr_fr'!M79</f>
        <v>7</v>
      </c>
      <c r="G231" s="17">
        <f>'pampers-fr_fr'!M79</f>
        <v>7</v>
      </c>
      <c r="H231" s="4" t="s">
        <v>1613</v>
      </c>
      <c r="I231" s="4" t="s">
        <v>1480</v>
      </c>
      <c r="J231" s="4" t="s">
        <v>1614</v>
      </c>
      <c r="K231" s="4" t="s">
        <v>1490</v>
      </c>
      <c r="L231" s="4"/>
      <c r="M231" s="4"/>
      <c r="N231" s="4"/>
    </row>
    <row r="232" spans="1:14" ht="60" x14ac:dyDescent="0.35">
      <c r="A232" s="4" t="s">
        <v>1553</v>
      </c>
      <c r="B232" s="5" t="str">
        <f>'pampers-ja_jp'!C10</f>
        <v>4902430148825</v>
      </c>
      <c r="C232" s="5" t="str">
        <f>'pampers-ja_jp'!E10</f>
        <v>パンパースさらさらパンツ（Mサイズ）</v>
      </c>
      <c r="D232" s="5" t="str">
        <f>'pampers-ja_jp'!B10</f>
        <v>Pampers JP</v>
      </c>
      <c r="E232" s="5" t="str">
        <f>'pampers-ja_jp'!D10</f>
        <v>Inactive</v>
      </c>
      <c r="F232" s="17">
        <f>'pampers-ja_jp'!M10</f>
        <v>7</v>
      </c>
      <c r="G232" s="17">
        <f>'pampers-ja_jp'!M10</f>
        <v>7</v>
      </c>
      <c r="H232" s="4" t="s">
        <v>1613</v>
      </c>
      <c r="I232" s="4" t="s">
        <v>1480</v>
      </c>
      <c r="J232" s="4" t="s">
        <v>1614</v>
      </c>
      <c r="K232" s="4" t="s">
        <v>1490</v>
      </c>
      <c r="L232" s="4"/>
      <c r="M232" s="4"/>
      <c r="N232" s="4"/>
    </row>
    <row r="233" spans="1:14" ht="60" x14ac:dyDescent="0.35">
      <c r="A233" s="4" t="s">
        <v>1553</v>
      </c>
      <c r="B233" s="5" t="str">
        <f>'pampers-ja_jp'!C38</f>
        <v>4902430368988</v>
      </c>
      <c r="C233" s="5" t="str">
        <f>'pampers-ja_jp'!E38</f>
        <v>パンパースのはじめての肌への一番</v>
      </c>
      <c r="D233" s="5" t="str">
        <f>'pampers-ja_jp'!B38</f>
        <v>Pampers</v>
      </c>
      <c r="E233" s="5" t="str">
        <f>'pampers-ja_jp'!D38</f>
        <v>Inactive</v>
      </c>
      <c r="F233" s="17">
        <f>'pampers-ja_jp'!M38</f>
        <v>7</v>
      </c>
      <c r="G233" s="17">
        <f>'pampers-ja_jp'!M38</f>
        <v>7</v>
      </c>
      <c r="H233" s="4" t="s">
        <v>1613</v>
      </c>
      <c r="I233" s="4" t="s">
        <v>1480</v>
      </c>
      <c r="J233" s="4" t="s">
        <v>1614</v>
      </c>
      <c r="K233" s="4" t="s">
        <v>1490</v>
      </c>
      <c r="L233" s="4"/>
      <c r="M233" s="4"/>
      <c r="N233" s="4"/>
    </row>
    <row r="234" spans="1:14" ht="60" x14ac:dyDescent="0.35">
      <c r="A234" s="4" t="s">
        <v>1547</v>
      </c>
      <c r="B234" s="5" t="str">
        <f>'pampers-en_us'!C116</f>
        <v>Pampers_Lumi_SmartSleepSystem_ReplacementSensor</v>
      </c>
      <c r="C234" s="5" t="str">
        <f>'pampers-en_us'!E116</f>
        <v>Smart Sleep System (Replacement Sensor)</v>
      </c>
      <c r="D234" s="5">
        <f>'pampers-en_us'!B116</f>
        <v>0</v>
      </c>
      <c r="E234" s="5" t="str">
        <f>'pampers-en_us'!D116</f>
        <v>Inactive</v>
      </c>
      <c r="F234" s="17">
        <f>'pampers-en_us'!M116</f>
        <v>6</v>
      </c>
      <c r="G234" s="17">
        <f>'pampers-en_us'!M116</f>
        <v>6</v>
      </c>
      <c r="H234" s="4" t="s">
        <v>1613</v>
      </c>
      <c r="I234" s="4" t="s">
        <v>1480</v>
      </c>
      <c r="J234" s="4" t="s">
        <v>1614</v>
      </c>
      <c r="K234" s="4" t="s">
        <v>1490</v>
      </c>
      <c r="L234" s="4"/>
      <c r="M234" s="4"/>
      <c r="N234" s="4"/>
    </row>
    <row r="235" spans="1:14" ht="60" x14ac:dyDescent="0.35">
      <c r="A235" s="4" t="s">
        <v>1547</v>
      </c>
      <c r="B235" s="5" t="str">
        <f>'pampers-en_us'!C18</f>
        <v>900821</v>
      </c>
      <c r="C235" s="5" t="str">
        <f>'pampers-en_us'!E18</f>
        <v>Bibsters</v>
      </c>
      <c r="D235" s="5" t="str">
        <f>'pampers-en_us'!B18</f>
        <v>Pampers</v>
      </c>
      <c r="E235" s="5" t="str">
        <f>'pampers-en_us'!D18</f>
        <v>Inactive</v>
      </c>
      <c r="F235" s="17">
        <f>'pampers-en_us'!M18</f>
        <v>5</v>
      </c>
      <c r="G235" s="17">
        <f>'pampers-en_us'!M18</f>
        <v>5</v>
      </c>
      <c r="H235" s="4" t="s">
        <v>1613</v>
      </c>
      <c r="I235" s="4" t="s">
        <v>1480</v>
      </c>
      <c r="J235" s="4" t="s">
        <v>1614</v>
      </c>
      <c r="K235" s="4" t="s">
        <v>1490</v>
      </c>
      <c r="L235" s="4"/>
      <c r="M235" s="4"/>
      <c r="N235" s="4"/>
    </row>
    <row r="236" spans="1:14" ht="60" x14ac:dyDescent="0.35">
      <c r="A236" s="4" t="s">
        <v>1547</v>
      </c>
      <c r="B236" s="5" t="str">
        <f>'pampers-en_us'!C32</f>
        <v>930825</v>
      </c>
      <c r="C236" s="5" t="str">
        <f>'pampers-en_us'!E32</f>
        <v>Pampers® Sensitive ThickCare Baby Wipes</v>
      </c>
      <c r="D236" s="5" t="str">
        <f>'pampers-en_us'!B32</f>
        <v>Pampers</v>
      </c>
      <c r="E236" s="5" t="str">
        <f>'pampers-en_us'!D32</f>
        <v>Inactive</v>
      </c>
      <c r="F236" s="17">
        <f>'pampers-en_us'!M32</f>
        <v>5</v>
      </c>
      <c r="G236" s="17">
        <f>'pampers-en_us'!M32</f>
        <v>5</v>
      </c>
      <c r="H236" s="4" t="s">
        <v>1613</v>
      </c>
      <c r="I236" s="4" t="s">
        <v>1480</v>
      </c>
      <c r="J236" s="4" t="s">
        <v>1614</v>
      </c>
      <c r="K236" s="4" t="s">
        <v>1490</v>
      </c>
      <c r="L236" s="4"/>
      <c r="M236" s="4"/>
      <c r="N236" s="4"/>
    </row>
    <row r="237" spans="1:14" ht="60" x14ac:dyDescent="0.35">
      <c r="A237" s="4" t="s">
        <v>1547</v>
      </c>
      <c r="B237" s="5" t="str">
        <f>'pampers-en_us'!C33</f>
        <v>900832</v>
      </c>
      <c r="C237" s="5" t="str">
        <f>'pampers-en_us'!E33</f>
        <v>Pampers ThickCare Touch of Chamomile Wipes</v>
      </c>
      <c r="D237" s="5" t="str">
        <f>'pampers-en_us'!B33</f>
        <v>Pampers</v>
      </c>
      <c r="E237" s="5" t="str">
        <f>'pampers-en_us'!D33</f>
        <v>Inactive</v>
      </c>
      <c r="F237" s="17">
        <f>'pampers-en_us'!M33</f>
        <v>5</v>
      </c>
      <c r="G237" s="17">
        <f>'pampers-en_us'!M33</f>
        <v>5</v>
      </c>
      <c r="H237" s="4" t="s">
        <v>1613</v>
      </c>
      <c r="I237" s="4" t="s">
        <v>1480</v>
      </c>
      <c r="J237" s="4" t="s">
        <v>1614</v>
      </c>
      <c r="K237" s="4" t="s">
        <v>1490</v>
      </c>
      <c r="L237" s="4"/>
      <c r="M237" s="4"/>
      <c r="N237" s="4"/>
    </row>
    <row r="238" spans="1:14" ht="60" x14ac:dyDescent="0.35">
      <c r="A238" s="4" t="s">
        <v>1547</v>
      </c>
      <c r="B238" s="5" t="str">
        <f>'pampers-en_us'!C35</f>
        <v>900820</v>
      </c>
      <c r="C238" s="5" t="str">
        <f>'pampers-en_us'!E35</f>
        <v>Pocket Bibsters</v>
      </c>
      <c r="D238" s="5" t="str">
        <f>'pampers-en_us'!B35</f>
        <v>Pampers</v>
      </c>
      <c r="E238" s="5" t="str">
        <f>'pampers-en_us'!D35</f>
        <v>Inactive</v>
      </c>
      <c r="F238" s="17">
        <f>'pampers-en_us'!M35</f>
        <v>5</v>
      </c>
      <c r="G238" s="17">
        <f>'pampers-en_us'!M35</f>
        <v>5</v>
      </c>
      <c r="H238" s="4" t="s">
        <v>1613</v>
      </c>
      <c r="I238" s="4" t="s">
        <v>1480</v>
      </c>
      <c r="J238" s="4" t="s">
        <v>1614</v>
      </c>
      <c r="K238" s="4" t="s">
        <v>1490</v>
      </c>
      <c r="L238" s="4"/>
      <c r="M238" s="4"/>
      <c r="N238" s="4"/>
    </row>
    <row r="239" spans="1:14" ht="60" x14ac:dyDescent="0.35">
      <c r="A239" s="4" t="s">
        <v>1547</v>
      </c>
      <c r="B239" s="5" t="str">
        <f>'pampers-en_us'!C75</f>
        <v>pampers-pure-protection-diapers-hybrid</v>
      </c>
      <c r="C239" s="5" t="str">
        <f>'pampers-en_us'!E75</f>
        <v>Pampers® Pure Protection Hybrid Diapers</v>
      </c>
      <c r="D239" s="5" t="str">
        <f>'pampers-en_us'!B75</f>
        <v>Pampers</v>
      </c>
      <c r="E239" s="5" t="str">
        <f>'pampers-en_us'!D75</f>
        <v>Inactive</v>
      </c>
      <c r="F239" s="17">
        <f>'pampers-en_us'!M75</f>
        <v>5</v>
      </c>
      <c r="G239" s="17">
        <f>'pampers-en_us'!M75</f>
        <v>5</v>
      </c>
      <c r="H239" s="4" t="s">
        <v>1613</v>
      </c>
      <c r="I239" s="4" t="s">
        <v>1480</v>
      </c>
      <c r="J239" s="4" t="s">
        <v>1614</v>
      </c>
      <c r="K239" s="4" t="s">
        <v>1490</v>
      </c>
      <c r="L239" s="4"/>
      <c r="M239" s="4"/>
      <c r="N239" s="4"/>
    </row>
    <row r="240" spans="1:14" ht="60" x14ac:dyDescent="0.35">
      <c r="A240" s="4" t="s">
        <v>1547</v>
      </c>
      <c r="B240" s="5" t="str">
        <f>'pampers-en_us'!C96</f>
        <v>INFPGID2028092</v>
      </c>
      <c r="C240" s="5">
        <f>'pampers-en_us'!E96</f>
        <v>0</v>
      </c>
      <c r="D240" s="5">
        <f>'pampers-en_us'!B96</f>
        <v>0</v>
      </c>
      <c r="E240" s="5" t="str">
        <f>'pampers-en_us'!D96</f>
        <v>Inactive</v>
      </c>
      <c r="F240" s="17">
        <f>'pampers-en_us'!M96</f>
        <v>5</v>
      </c>
      <c r="G240" s="17">
        <f>'pampers-en_us'!M96</f>
        <v>5</v>
      </c>
      <c r="H240" s="4" t="s">
        <v>1613</v>
      </c>
      <c r="I240" s="4" t="s">
        <v>1480</v>
      </c>
      <c r="J240" s="4" t="s">
        <v>1614</v>
      </c>
      <c r="K240" s="4" t="s">
        <v>1490</v>
      </c>
      <c r="L240" s="4"/>
      <c r="M240" s="4"/>
      <c r="N240" s="4"/>
    </row>
    <row r="241" spans="1:14" ht="60" x14ac:dyDescent="0.35">
      <c r="A241" s="4" t="s">
        <v>1547</v>
      </c>
      <c r="B241" s="5" t="str">
        <f>'pampers-en_us'!C99</f>
        <v>INFPGID2028461</v>
      </c>
      <c r="C241" s="5">
        <f>'pampers-en_us'!E99</f>
        <v>0</v>
      </c>
      <c r="D241" s="5">
        <f>'pampers-en_us'!B99</f>
        <v>0</v>
      </c>
      <c r="E241" s="5" t="str">
        <f>'pampers-en_us'!D99</f>
        <v>Inactive</v>
      </c>
      <c r="F241" s="17">
        <f>'pampers-en_us'!M99</f>
        <v>5</v>
      </c>
      <c r="G241" s="17">
        <f>'pampers-en_us'!M99</f>
        <v>5</v>
      </c>
      <c r="H241" s="4" t="s">
        <v>1613</v>
      </c>
      <c r="I241" s="4" t="s">
        <v>1480</v>
      </c>
      <c r="J241" s="4" t="s">
        <v>1614</v>
      </c>
      <c r="K241" s="4" t="s">
        <v>1490</v>
      </c>
      <c r="L241" s="4"/>
      <c r="M241" s="4"/>
      <c r="N241" s="4"/>
    </row>
    <row r="242" spans="1:14" ht="60" x14ac:dyDescent="0.35">
      <c r="A242" s="4" t="s">
        <v>1549</v>
      </c>
      <c r="B242" s="5" t="str">
        <f>'pampers-en_gb'!C30</f>
        <v>171156442-GB</v>
      </c>
      <c r="C242" s="5" t="str">
        <f>'pampers-en_gb'!E30</f>
        <v>WIPES Pampers Complete Clean Unscented</v>
      </c>
      <c r="D242" s="5" t="str">
        <f>'pampers-en_gb'!B30</f>
        <v>Pampers</v>
      </c>
      <c r="E242" s="5" t="str">
        <f>'pampers-en_gb'!D30</f>
        <v>Inactive</v>
      </c>
      <c r="F242" s="17">
        <f>'pampers-en_gb'!M30</f>
        <v>5</v>
      </c>
      <c r="G242" s="17">
        <f>'pampers-en_gb'!M30</f>
        <v>5</v>
      </c>
      <c r="H242" s="4" t="s">
        <v>1613</v>
      </c>
      <c r="I242" s="4" t="s">
        <v>1480</v>
      </c>
      <c r="J242" s="4" t="s">
        <v>1614</v>
      </c>
      <c r="K242" s="4" t="s">
        <v>1490</v>
      </c>
      <c r="L242" s="4"/>
      <c r="M242" s="4"/>
      <c r="N242" s="4"/>
    </row>
    <row r="243" spans="1:14" ht="60" x14ac:dyDescent="0.35">
      <c r="A243" s="4" t="s">
        <v>1550</v>
      </c>
      <c r="B243" s="5" t="str">
        <f>'pampers-de_de'!C17</f>
        <v>PAMPERS_COCONUT_PURE_WIPES</v>
      </c>
      <c r="C243" s="5" t="str">
        <f>'pampers-de_de'!E17</f>
        <v>Pampers Harmonie Coconut Feuchttücher</v>
      </c>
      <c r="D243" s="5" t="str">
        <f>'pampers-de_de'!B17</f>
        <v>Pampers</v>
      </c>
      <c r="E243" s="5" t="str">
        <f>'pampers-de_de'!D17</f>
        <v>Inactive</v>
      </c>
      <c r="F243" s="17">
        <f>'pampers-de_de'!M17</f>
        <v>5</v>
      </c>
      <c r="G243" s="17">
        <f>'pampers-de_de'!M17</f>
        <v>5</v>
      </c>
      <c r="H243" s="4" t="s">
        <v>1613</v>
      </c>
      <c r="I243" s="4" t="s">
        <v>1480</v>
      </c>
      <c r="J243" s="4" t="s">
        <v>1614</v>
      </c>
      <c r="K243" s="4" t="s">
        <v>1490</v>
      </c>
      <c r="L243" s="4"/>
      <c r="M243" s="4"/>
      <c r="N243" s="4"/>
    </row>
    <row r="244" spans="1:14" ht="60" x14ac:dyDescent="0.35">
      <c r="A244" s="4" t="s">
        <v>1552</v>
      </c>
      <c r="B244" s="5" t="str">
        <f>pgdodotspain!C14</f>
        <v>AQUA_PURE</v>
      </c>
      <c r="C244" s="5" t="str">
        <f>pgdodotspain!E14</f>
        <v>TOALLITAS Aqua Pure de Dodot®</v>
      </c>
      <c r="D244" s="5" t="str">
        <f>pgdodotspain!B14</f>
        <v>Pampers</v>
      </c>
      <c r="E244" s="5" t="str">
        <f>pgdodotspain!D14</f>
        <v>Inactive</v>
      </c>
      <c r="F244" s="17">
        <f>pgdodotspain!M14</f>
        <v>5</v>
      </c>
      <c r="G244" s="17">
        <f>pgdodotspain!M14</f>
        <v>5</v>
      </c>
      <c r="H244" s="4" t="s">
        <v>1613</v>
      </c>
      <c r="I244" s="4" t="s">
        <v>1480</v>
      </c>
      <c r="J244" s="4" t="s">
        <v>1614</v>
      </c>
      <c r="K244" s="4" t="s">
        <v>1490</v>
      </c>
      <c r="L244" s="4"/>
      <c r="M244" s="4"/>
      <c r="N244" s="4"/>
    </row>
    <row r="245" spans="1:14" ht="60" x14ac:dyDescent="0.35">
      <c r="A245" s="4" t="s">
        <v>1553</v>
      </c>
      <c r="B245" s="5" t="str">
        <f>'pampers-ja_jp'!C21</f>
        <v>PAMPERS_ONI_ONE_SAN_PANTS</v>
      </c>
      <c r="C245" s="5" t="str">
        <f>'pampers-ja_jp'!E21</f>
        <v>おにいさん・おねえさん気分パンツ</v>
      </c>
      <c r="D245" s="5" t="str">
        <f>'pampers-ja_jp'!B21</f>
        <v>Pampers</v>
      </c>
      <c r="E245" s="5" t="str">
        <f>'pampers-ja_jp'!D21</f>
        <v>Inactive</v>
      </c>
      <c r="F245" s="17">
        <f>'pampers-ja_jp'!M21</f>
        <v>5</v>
      </c>
      <c r="G245" s="17">
        <f>'pampers-ja_jp'!M21</f>
        <v>5</v>
      </c>
      <c r="H245" s="4" t="s">
        <v>1613</v>
      </c>
      <c r="I245" s="4" t="s">
        <v>1480</v>
      </c>
      <c r="J245" s="4" t="s">
        <v>1614</v>
      </c>
      <c r="K245" s="4" t="s">
        <v>1490</v>
      </c>
      <c r="L245" s="4"/>
      <c r="M245" s="4"/>
      <c r="N245" s="4"/>
    </row>
    <row r="246" spans="1:14" ht="60" x14ac:dyDescent="0.35">
      <c r="A246" s="4" t="s">
        <v>1547</v>
      </c>
      <c r="B246" s="5" t="str">
        <f>'pampers-en_us'!C28</f>
        <v>900808</v>
      </c>
      <c r="C246" s="5" t="str">
        <f>'pampers-en_us'!E28</f>
        <v>Swipers Wipes</v>
      </c>
      <c r="D246" s="5" t="str">
        <f>'pampers-en_us'!B28</f>
        <v>Pampers</v>
      </c>
      <c r="E246" s="5" t="str">
        <f>'pampers-en_us'!D28</f>
        <v>Inactive</v>
      </c>
      <c r="F246" s="17">
        <f>'pampers-en_us'!M28</f>
        <v>4</v>
      </c>
      <c r="G246" s="17">
        <f>'pampers-en_us'!M28</f>
        <v>4</v>
      </c>
      <c r="H246" s="4" t="s">
        <v>1613</v>
      </c>
      <c r="I246" s="4" t="s">
        <v>1480</v>
      </c>
      <c r="J246" s="4" t="s">
        <v>1614</v>
      </c>
      <c r="K246" s="4" t="s">
        <v>1490</v>
      </c>
      <c r="L246" s="4"/>
      <c r="M246" s="4"/>
      <c r="N246" s="4"/>
    </row>
    <row r="247" spans="1:14" ht="60" x14ac:dyDescent="0.35">
      <c r="A247" s="4" t="s">
        <v>1547</v>
      </c>
      <c r="B247" s="5" t="str">
        <f>'pampers-en_us'!C111</f>
        <v>INFPGID2161510</v>
      </c>
      <c r="C247" s="5">
        <f>'pampers-en_us'!E111</f>
        <v>0</v>
      </c>
      <c r="D247" s="5">
        <f>'pampers-en_us'!B111</f>
        <v>0</v>
      </c>
      <c r="E247" s="5" t="str">
        <f>'pampers-en_us'!D111</f>
        <v>Inactive</v>
      </c>
      <c r="F247" s="17">
        <f>'pampers-en_us'!M111</f>
        <v>4</v>
      </c>
      <c r="G247" s="17">
        <f>'pampers-en_us'!M111</f>
        <v>4</v>
      </c>
      <c r="H247" s="4" t="s">
        <v>1613</v>
      </c>
      <c r="I247" s="4" t="s">
        <v>1480</v>
      </c>
      <c r="J247" s="4" t="s">
        <v>1614</v>
      </c>
      <c r="K247" s="4" t="s">
        <v>1490</v>
      </c>
      <c r="L247" s="4"/>
      <c r="M247" s="4"/>
      <c r="N247" s="4"/>
    </row>
    <row r="248" spans="1:14" ht="60" x14ac:dyDescent="0.35">
      <c r="A248" s="4" t="s">
        <v>1547</v>
      </c>
      <c r="B248" s="5" t="str">
        <f>'pampers-en_us'!C126</f>
        <v>003700006698</v>
      </c>
      <c r="C248" s="5">
        <f>'pampers-en_us'!E126</f>
        <v>0</v>
      </c>
      <c r="D248" s="5">
        <f>'pampers-en_us'!B126</f>
        <v>0</v>
      </c>
      <c r="E248" s="5" t="str">
        <f>'pampers-en_us'!D126</f>
        <v>Inactive</v>
      </c>
      <c r="F248" s="17">
        <f>'pampers-en_us'!M126</f>
        <v>4</v>
      </c>
      <c r="G248" s="17">
        <f>'pampers-en_us'!M126</f>
        <v>4</v>
      </c>
      <c r="H248" s="4" t="s">
        <v>1613</v>
      </c>
      <c r="I248" s="4" t="s">
        <v>1480</v>
      </c>
      <c r="J248" s="4" t="s">
        <v>1614</v>
      </c>
      <c r="K248" s="4" t="s">
        <v>1490</v>
      </c>
      <c r="L248" s="4"/>
      <c r="M248" s="4"/>
      <c r="N248" s="4"/>
    </row>
    <row r="249" spans="1:14" ht="60" x14ac:dyDescent="0.35">
      <c r="A249" s="4" t="s">
        <v>1548</v>
      </c>
      <c r="B249" s="5" t="str">
        <f>'pampers-es'!C32</f>
        <v>Pampers_Premium_Care</v>
      </c>
      <c r="C249" s="5" t="str">
        <f>'pampers-es'!E32</f>
        <v>Pampers Premium Care</v>
      </c>
      <c r="D249" s="5" t="str">
        <f>'pampers-es'!B32</f>
        <v>Pampers</v>
      </c>
      <c r="E249" s="5" t="str">
        <f>'pampers-es'!D32</f>
        <v>Inactive</v>
      </c>
      <c r="F249" s="17">
        <f>'pampers-es'!M32</f>
        <v>4</v>
      </c>
      <c r="G249" s="17">
        <f>'pampers-es'!M32</f>
        <v>4</v>
      </c>
      <c r="H249" s="4" t="s">
        <v>1613</v>
      </c>
      <c r="I249" s="4" t="s">
        <v>1480</v>
      </c>
      <c r="J249" s="4" t="s">
        <v>1614</v>
      </c>
      <c r="K249" s="4" t="s">
        <v>1490</v>
      </c>
      <c r="L249" s="4"/>
      <c r="M249" s="4"/>
      <c r="N249" s="4"/>
    </row>
    <row r="250" spans="1:14" ht="60" x14ac:dyDescent="0.35">
      <c r="A250" s="4" t="s">
        <v>1550</v>
      </c>
      <c r="B250" s="5" t="str">
        <f>'pampers-de_de'!C8</f>
        <v>711155945-DE</v>
      </c>
      <c r="C250" s="5" t="str">
        <f>'pampers-de_de'!E8</f>
        <v>Pampers Sensitive Feuchttücher</v>
      </c>
      <c r="D250" s="5" t="str">
        <f>'pampers-de_de'!B8</f>
        <v>Pampers DE</v>
      </c>
      <c r="E250" s="5" t="str">
        <f>'pampers-de_de'!D8</f>
        <v>Inactive</v>
      </c>
      <c r="F250" s="17">
        <f>'pampers-de_de'!M8</f>
        <v>4</v>
      </c>
      <c r="G250" s="17">
        <f>'pampers-de_de'!M8</f>
        <v>4</v>
      </c>
      <c r="H250" s="4" t="s">
        <v>1620</v>
      </c>
      <c r="I250" s="4" t="s">
        <v>1480</v>
      </c>
      <c r="J250" s="4" t="s">
        <v>1614</v>
      </c>
      <c r="K250" s="4" t="s">
        <v>1490</v>
      </c>
      <c r="L250" s="4"/>
      <c r="M250" s="4"/>
      <c r="N250" s="4"/>
    </row>
    <row r="251" spans="1:14" ht="60" x14ac:dyDescent="0.35">
      <c r="A251" s="4" t="s">
        <v>1551</v>
      </c>
      <c r="B251" s="5" t="str">
        <f>'pampers-fr_fr'!C10</f>
        <v>181148361-FR</v>
      </c>
      <c r="C251" s="5" t="str">
        <f>'pampers-fr_fr'!E10</f>
        <v>Lingettes Pampers Sensitive</v>
      </c>
      <c r="D251" s="5" t="str">
        <f>'pampers-fr_fr'!B10</f>
        <v>Pampers FR</v>
      </c>
      <c r="E251" s="5" t="str">
        <f>'pampers-fr_fr'!D10</f>
        <v>Inactive</v>
      </c>
      <c r="F251" s="17">
        <f>'pampers-fr_fr'!M10</f>
        <v>4</v>
      </c>
      <c r="G251" s="17">
        <f>'pampers-fr_fr'!M10</f>
        <v>4</v>
      </c>
      <c r="H251" s="4" t="s">
        <v>1613</v>
      </c>
      <c r="I251" s="4" t="s">
        <v>1480</v>
      </c>
      <c r="J251" s="4" t="s">
        <v>1614</v>
      </c>
      <c r="K251" s="4" t="s">
        <v>1490</v>
      </c>
      <c r="L251" s="4"/>
      <c r="M251" s="4"/>
      <c r="N251" s="4"/>
    </row>
    <row r="252" spans="1:14" ht="60" x14ac:dyDescent="0.35">
      <c r="A252" s="4" t="s">
        <v>1552</v>
      </c>
      <c r="B252" s="5" t="str">
        <f>pgdodotspain!C11</f>
        <v>2110000</v>
      </c>
      <c r="C252" s="5" t="str">
        <f>pgdodotspain!E11</f>
        <v>Dodot Happyjama Niños</v>
      </c>
      <c r="D252" s="5" t="str">
        <f>pgdodotspain!B11</f>
        <v>Dodot</v>
      </c>
      <c r="E252" s="5" t="str">
        <f>pgdodotspain!D11</f>
        <v>Inactive</v>
      </c>
      <c r="F252" s="17">
        <f>pgdodotspain!M11</f>
        <v>4</v>
      </c>
      <c r="G252" s="17">
        <f>pgdodotspain!M11</f>
        <v>4</v>
      </c>
      <c r="H252" s="4" t="s">
        <v>1613</v>
      </c>
      <c r="I252" s="4" t="s">
        <v>1480</v>
      </c>
      <c r="J252" s="4" t="s">
        <v>1614</v>
      </c>
      <c r="K252" s="4" t="s">
        <v>1490</v>
      </c>
      <c r="L252" s="4"/>
      <c r="M252" s="4"/>
      <c r="N252" s="4"/>
    </row>
    <row r="253" spans="1:14" ht="60" x14ac:dyDescent="0.35">
      <c r="A253" s="4" t="s">
        <v>1553</v>
      </c>
      <c r="B253" s="5" t="str">
        <f>'pampers-ja_jp'!C9</f>
        <v>4902430215992</v>
      </c>
      <c r="C253" s="5" t="str">
        <f>'pampers-ja_jp'!E9</f>
        <v>パンパースのはじめての肌へのいちばん　（新生児サイズ）</v>
      </c>
      <c r="D253" s="5" t="str">
        <f>'pampers-ja_jp'!B9</f>
        <v>Pampers JP</v>
      </c>
      <c r="E253" s="5" t="str">
        <f>'pampers-ja_jp'!D9</f>
        <v>Inactive</v>
      </c>
      <c r="F253" s="17">
        <f>'pampers-ja_jp'!M9</f>
        <v>4</v>
      </c>
      <c r="G253" s="17">
        <f>'pampers-ja_jp'!M9</f>
        <v>4</v>
      </c>
      <c r="H253" s="4" t="s">
        <v>1613</v>
      </c>
      <c r="I253" s="4" t="s">
        <v>1480</v>
      </c>
      <c r="J253" s="4" t="s">
        <v>1614</v>
      </c>
      <c r="K253" s="4" t="s">
        <v>1490</v>
      </c>
      <c r="L253" s="4"/>
      <c r="M253" s="4"/>
      <c r="N253" s="4"/>
    </row>
    <row r="254" spans="1:14" ht="60" x14ac:dyDescent="0.35">
      <c r="A254" s="4" t="s">
        <v>1547</v>
      </c>
      <c r="B254" s="5" t="str">
        <f>'pampers-en_us'!C10</f>
        <v>900815</v>
      </c>
      <c r="C254" s="5" t="str">
        <f>'pampers-en_us'!E10</f>
        <v>Pampers® SoftCare Unscented Wipes</v>
      </c>
      <c r="D254" s="5" t="str">
        <f>'pampers-en_us'!B10</f>
        <v>Pampers</v>
      </c>
      <c r="E254" s="5" t="str">
        <f>'pampers-en_us'!D10</f>
        <v>Inactive</v>
      </c>
      <c r="F254" s="17">
        <f>'pampers-en_us'!M10</f>
        <v>3</v>
      </c>
      <c r="G254" s="17">
        <f>'pampers-en_us'!M10</f>
        <v>3</v>
      </c>
      <c r="H254" s="4" t="s">
        <v>1613</v>
      </c>
      <c r="I254" s="4" t="s">
        <v>1480</v>
      </c>
      <c r="J254" s="4" t="s">
        <v>1614</v>
      </c>
      <c r="K254" s="4" t="s">
        <v>1490</v>
      </c>
      <c r="L254" s="4"/>
      <c r="M254" s="4"/>
      <c r="N254" s="4"/>
    </row>
    <row r="255" spans="1:14" ht="60" x14ac:dyDescent="0.35">
      <c r="A255" s="4" t="s">
        <v>1547</v>
      </c>
      <c r="B255" s="5" t="str">
        <f>'pampers-en_us'!C26</f>
        <v>900812</v>
      </c>
      <c r="C255" s="5" t="str">
        <f>'pampers-en_us'!E26</f>
        <v>Calming Lavender Wipes</v>
      </c>
      <c r="D255" s="5" t="str">
        <f>'pampers-en_us'!B26</f>
        <v>Pampers</v>
      </c>
      <c r="E255" s="5" t="str">
        <f>'pampers-en_us'!D26</f>
        <v>Inactive</v>
      </c>
      <c r="F255" s="17">
        <f>'pampers-en_us'!M26</f>
        <v>3</v>
      </c>
      <c r="G255" s="17">
        <f>'pampers-en_us'!M26</f>
        <v>3</v>
      </c>
      <c r="H255" s="4" t="s">
        <v>1613</v>
      </c>
      <c r="I255" s="4" t="s">
        <v>1480</v>
      </c>
      <c r="J255" s="4" t="s">
        <v>1614</v>
      </c>
      <c r="K255" s="4" t="s">
        <v>1490</v>
      </c>
      <c r="L255" s="4"/>
      <c r="M255" s="4"/>
      <c r="N255" s="4"/>
    </row>
    <row r="256" spans="1:14" ht="60" x14ac:dyDescent="0.35">
      <c r="A256" s="4" t="s">
        <v>1547</v>
      </c>
      <c r="B256" s="5" t="str">
        <f>'pampers-en_us'!C58</f>
        <v>PAMPERS_PURE_PROTECTION_TRAINING_UNDERWEAR</v>
      </c>
      <c r="C256" s="5" t="str">
        <f>'pampers-en_us'!E58</f>
        <v>Pampers® Pure Protection Training Underwear™</v>
      </c>
      <c r="D256" s="5" t="str">
        <f>'pampers-en_us'!B58</f>
        <v>Pampers</v>
      </c>
      <c r="E256" s="5" t="str">
        <f>'pampers-en_us'!D58</f>
        <v>Inactive</v>
      </c>
      <c r="F256" s="17">
        <f>'pampers-en_us'!M58</f>
        <v>3</v>
      </c>
      <c r="G256" s="17">
        <f>'pampers-en_us'!M58</f>
        <v>3</v>
      </c>
      <c r="H256" s="4" t="s">
        <v>1613</v>
      </c>
      <c r="I256" s="4" t="s">
        <v>1480</v>
      </c>
      <c r="J256" s="4" t="s">
        <v>1614</v>
      </c>
      <c r="K256" s="4" t="s">
        <v>1490</v>
      </c>
      <c r="L256" s="4"/>
      <c r="M256" s="4"/>
      <c r="N256" s="4"/>
    </row>
    <row r="257" spans="1:14" ht="60" x14ac:dyDescent="0.35">
      <c r="A257" s="4" t="s">
        <v>1548</v>
      </c>
      <c r="B257" s="5" t="str">
        <f>'pampers-es'!C12</f>
        <v>10930827</v>
      </c>
      <c r="C257" s="5" t="str">
        <f>'pampers-es'!E12</f>
        <v>Pañales Pampers® Swaddlers</v>
      </c>
      <c r="D257" s="5" t="str">
        <f>'pampers-es'!B12</f>
        <v>Pampers</v>
      </c>
      <c r="E257" s="5" t="str">
        <f>'pampers-es'!D12</f>
        <v>Inactive</v>
      </c>
      <c r="F257" s="17">
        <f>'pampers-es'!M12</f>
        <v>3</v>
      </c>
      <c r="G257" s="17">
        <f>'pampers-es'!M12</f>
        <v>3</v>
      </c>
      <c r="H257" s="4" t="s">
        <v>1613</v>
      </c>
      <c r="I257" s="4" t="s">
        <v>1480</v>
      </c>
      <c r="J257" s="4" t="s">
        <v>1614</v>
      </c>
      <c r="K257" s="4" t="s">
        <v>1490</v>
      </c>
      <c r="L257" s="4"/>
      <c r="M257" s="4"/>
      <c r="N257" s="4"/>
    </row>
    <row r="258" spans="1:14" ht="60" x14ac:dyDescent="0.35">
      <c r="A258" s="4" t="s">
        <v>1548</v>
      </c>
      <c r="B258" s="5" t="str">
        <f>'pampers-es'!C13</f>
        <v>930824</v>
      </c>
      <c r="C258" s="5" t="str">
        <f>'pampers-es'!E13</f>
        <v>Pañales Pampers Prints Limited Edition para niños y niñas</v>
      </c>
      <c r="D258" s="5" t="str">
        <f>'pampers-es'!B13</f>
        <v>Pampers</v>
      </c>
      <c r="E258" s="5" t="str">
        <f>'pampers-es'!D13</f>
        <v>Inactive</v>
      </c>
      <c r="F258" s="17">
        <f>'pampers-es'!M13</f>
        <v>3</v>
      </c>
      <c r="G258" s="17">
        <f>'pampers-es'!M13</f>
        <v>3</v>
      </c>
      <c r="H258" s="4" t="s">
        <v>1613</v>
      </c>
      <c r="I258" s="4" t="s">
        <v>1480</v>
      </c>
      <c r="J258" s="4" t="s">
        <v>1614</v>
      </c>
      <c r="K258" s="4" t="s">
        <v>1490</v>
      </c>
      <c r="L258" s="4"/>
      <c r="M258" s="4"/>
      <c r="N258" s="4"/>
    </row>
    <row r="259" spans="1:14" ht="60" x14ac:dyDescent="0.35">
      <c r="A259" s="4" t="s">
        <v>1552</v>
      </c>
      <c r="B259" s="5" t="str">
        <f>pgdodotspain!C8</f>
        <v>2100000</v>
      </c>
      <c r="C259" s="5" t="str">
        <f>pgdodotspain!E8</f>
        <v>Dodot Happyjama Niñas</v>
      </c>
      <c r="D259" s="5" t="str">
        <f>pgdodotspain!B8</f>
        <v>Dodot</v>
      </c>
      <c r="E259" s="5" t="str">
        <f>pgdodotspain!D8</f>
        <v>Inactive</v>
      </c>
      <c r="F259" s="17">
        <f>pgdodotspain!M8</f>
        <v>3</v>
      </c>
      <c r="G259" s="17">
        <f>pgdodotspain!M8</f>
        <v>3</v>
      </c>
      <c r="H259" s="4" t="s">
        <v>1613</v>
      </c>
      <c r="I259" s="4" t="s">
        <v>1480</v>
      </c>
      <c r="J259" s="4" t="s">
        <v>1614</v>
      </c>
      <c r="K259" s="4" t="s">
        <v>1490</v>
      </c>
      <c r="L259" s="4"/>
      <c r="M259" s="4"/>
      <c r="N259" s="4"/>
    </row>
    <row r="260" spans="1:14" ht="60" x14ac:dyDescent="0.35">
      <c r="A260" s="4" t="s">
        <v>1553</v>
      </c>
      <c r="B260" s="5" t="str">
        <f>'pampers-ja_jp'!C34</f>
        <v>FS_pants_xxl_Star</v>
      </c>
      <c r="C260" s="5" t="str">
        <f>'pampers-ja_jp'!E34</f>
        <v>パンパース さらさらパンツ ビッグより大きいサイズ</v>
      </c>
      <c r="D260" s="5" t="str">
        <f>'pampers-ja_jp'!B34</f>
        <v>Pampers</v>
      </c>
      <c r="E260" s="5" t="str">
        <f>'pampers-ja_jp'!D34</f>
        <v>Inactive</v>
      </c>
      <c r="F260" s="17">
        <f>'pampers-ja_jp'!M34</f>
        <v>3</v>
      </c>
      <c r="G260" s="17">
        <f>'pampers-ja_jp'!M34</f>
        <v>3</v>
      </c>
      <c r="H260" s="4" t="s">
        <v>1613</v>
      </c>
      <c r="I260" s="4" t="s">
        <v>1480</v>
      </c>
      <c r="J260" s="4" t="s">
        <v>1614</v>
      </c>
      <c r="K260" s="4" t="s">
        <v>1490</v>
      </c>
      <c r="L260" s="4"/>
      <c r="M260" s="4"/>
      <c r="N260" s="4"/>
    </row>
    <row r="261" spans="1:14" ht="60" x14ac:dyDescent="0.35">
      <c r="A261" s="4" t="s">
        <v>1547</v>
      </c>
      <c r="B261" s="5" t="str">
        <f>'pampers-en_us'!C118</f>
        <v>37000769255</v>
      </c>
      <c r="C261" s="5">
        <f>'pampers-en_us'!E118</f>
        <v>0</v>
      </c>
      <c r="D261" s="5">
        <f>'pampers-en_us'!B118</f>
        <v>0</v>
      </c>
      <c r="E261" s="5" t="str">
        <f>'pampers-en_us'!D118</f>
        <v>Inactive</v>
      </c>
      <c r="F261" s="17">
        <f>'pampers-en_us'!M118</f>
        <v>2</v>
      </c>
      <c r="G261" s="17">
        <f>'pampers-en_us'!M118</f>
        <v>2</v>
      </c>
      <c r="H261" s="4" t="s">
        <v>1613</v>
      </c>
      <c r="I261" s="4" t="s">
        <v>1480</v>
      </c>
      <c r="J261" s="4" t="s">
        <v>1614</v>
      </c>
      <c r="K261" s="4" t="s">
        <v>1490</v>
      </c>
      <c r="L261" s="4"/>
      <c r="M261" s="4"/>
      <c r="N261" s="4"/>
    </row>
    <row r="262" spans="1:14" ht="60" x14ac:dyDescent="0.35">
      <c r="A262" s="4" t="s">
        <v>1547</v>
      </c>
      <c r="B262" s="5" t="str">
        <f>'pampers-en_us'!C124</f>
        <v>samplingPampers_Wipes_Swaddlers_Sweet_Dreams</v>
      </c>
      <c r="C262" s="5">
        <f>'pampers-en_us'!E124</f>
        <v>0</v>
      </c>
      <c r="D262" s="5">
        <f>'pampers-en_us'!B124</f>
        <v>0</v>
      </c>
      <c r="E262" s="5" t="str">
        <f>'pampers-en_us'!D124</f>
        <v>Inactive</v>
      </c>
      <c r="F262" s="17">
        <f>'pampers-en_us'!M124</f>
        <v>2</v>
      </c>
      <c r="G262" s="17">
        <f>'pampers-en_us'!M124</f>
        <v>2</v>
      </c>
      <c r="H262" s="4" t="s">
        <v>1613</v>
      </c>
      <c r="I262" s="4" t="s">
        <v>1480</v>
      </c>
      <c r="J262" s="4" t="s">
        <v>1614</v>
      </c>
      <c r="K262" s="4" t="s">
        <v>1490</v>
      </c>
      <c r="L262" s="4"/>
      <c r="M262" s="4"/>
      <c r="N262" s="4"/>
    </row>
    <row r="263" spans="1:14" ht="60" x14ac:dyDescent="0.35">
      <c r="A263" s="4" t="s">
        <v>1548</v>
      </c>
      <c r="B263" s="5" t="str">
        <f>'pampers-es'!C11</f>
        <v>10930814</v>
      </c>
      <c r="C263" s="5" t="str">
        <f>'pampers-es'!E11</f>
        <v>Toallitas frescas para bebé SoftCare de Pampers</v>
      </c>
      <c r="D263" s="5" t="str">
        <f>'pampers-es'!B11</f>
        <v>Pampers</v>
      </c>
      <c r="E263" s="5" t="str">
        <f>'pampers-es'!D11</f>
        <v>Inactive</v>
      </c>
      <c r="F263" s="17">
        <f>'pampers-es'!M11</f>
        <v>2</v>
      </c>
      <c r="G263" s="17">
        <f>'pampers-es'!M11</f>
        <v>2</v>
      </c>
      <c r="H263" s="4" t="s">
        <v>1613</v>
      </c>
      <c r="I263" s="4" t="s">
        <v>1480</v>
      </c>
      <c r="J263" s="4" t="s">
        <v>1614</v>
      </c>
      <c r="K263" s="4" t="s">
        <v>1490</v>
      </c>
      <c r="L263" s="4"/>
      <c r="M263" s="4"/>
      <c r="N263" s="4"/>
    </row>
    <row r="264" spans="1:14" ht="60" x14ac:dyDescent="0.35">
      <c r="A264" s="4" t="s">
        <v>1548</v>
      </c>
      <c r="B264" s="5" t="str">
        <f>'pampers-es'!C20</f>
        <v>10930807</v>
      </c>
      <c r="C264" s="5" t="str">
        <f>'pampers-es'!E20</f>
        <v>Toallitas húmedas Pampers® Sensitive</v>
      </c>
      <c r="D264" s="5" t="str">
        <f>'pampers-es'!B20</f>
        <v>Pampers</v>
      </c>
      <c r="E264" s="5" t="str">
        <f>'pampers-es'!D20</f>
        <v>Inactive</v>
      </c>
      <c r="F264" s="17">
        <f>'pampers-es'!M20</f>
        <v>2</v>
      </c>
      <c r="G264" s="17">
        <f>'pampers-es'!M20</f>
        <v>2</v>
      </c>
      <c r="H264" s="4" t="s">
        <v>1613</v>
      </c>
      <c r="I264" s="4" t="s">
        <v>1480</v>
      </c>
      <c r="J264" s="4" t="s">
        <v>1614</v>
      </c>
      <c r="K264" s="4" t="s">
        <v>1490</v>
      </c>
      <c r="L264" s="4"/>
      <c r="M264" s="4"/>
      <c r="N264" s="4"/>
    </row>
    <row r="265" spans="1:14" ht="60" x14ac:dyDescent="0.35">
      <c r="A265" s="4" t="s">
        <v>1548</v>
      </c>
      <c r="B265" s="5" t="str">
        <f>'pampers-es'!C22</f>
        <v>10930802</v>
      </c>
      <c r="C265" s="5" t="str">
        <f>'pampers-es'!E22</f>
        <v>Pañales Pampers® Swaddlers Sensitive</v>
      </c>
      <c r="D265" s="5" t="str">
        <f>'pampers-es'!B22</f>
        <v>Pampers</v>
      </c>
      <c r="E265" s="5" t="str">
        <f>'pampers-es'!D22</f>
        <v>Inactive</v>
      </c>
      <c r="F265" s="17">
        <f>'pampers-es'!M22</f>
        <v>2</v>
      </c>
      <c r="G265" s="17">
        <f>'pampers-es'!M22</f>
        <v>2</v>
      </c>
      <c r="H265" s="4" t="s">
        <v>1613</v>
      </c>
      <c r="I265" s="4" t="s">
        <v>1480</v>
      </c>
      <c r="J265" s="4" t="s">
        <v>1614</v>
      </c>
      <c r="K265" s="4" t="s">
        <v>1490</v>
      </c>
      <c r="L265" s="4"/>
      <c r="M265" s="4"/>
      <c r="N265" s="4"/>
    </row>
    <row r="266" spans="1:14" ht="60" x14ac:dyDescent="0.35">
      <c r="A266" s="4" t="s">
        <v>1549</v>
      </c>
      <c r="B266" s="5" t="str">
        <f>'pampers-en_gb'!C20</f>
        <v>171074149-GB</v>
      </c>
      <c r="C266" s="5" t="str">
        <f>'pampers-en_gb'!E20</f>
        <v>Pampers Kandoo toilet wipes for children</v>
      </c>
      <c r="D266" s="5" t="str">
        <f>'pampers-en_gb'!B20</f>
        <v>Pampers</v>
      </c>
      <c r="E266" s="5" t="str">
        <f>'pampers-en_gb'!D20</f>
        <v>Inactive</v>
      </c>
      <c r="F266" s="17">
        <f>'pampers-en_gb'!M20</f>
        <v>2</v>
      </c>
      <c r="G266" s="17">
        <f>'pampers-en_gb'!M20</f>
        <v>2</v>
      </c>
      <c r="H266" s="4" t="s">
        <v>1613</v>
      </c>
      <c r="I266" s="4" t="s">
        <v>1480</v>
      </c>
      <c r="J266" s="4" t="s">
        <v>1614</v>
      </c>
      <c r="K266" s="4" t="s">
        <v>1490</v>
      </c>
      <c r="L266" s="4"/>
      <c r="M266" s="4"/>
      <c r="N266" s="4"/>
    </row>
    <row r="267" spans="1:14" ht="60" x14ac:dyDescent="0.35">
      <c r="A267" s="4" t="s">
        <v>1549</v>
      </c>
      <c r="B267" s="5" t="str">
        <f>'pampers-en_gb'!C45</f>
        <v>241044174</v>
      </c>
      <c r="C267" s="5">
        <f>'pampers-en_gb'!E45</f>
        <v>0</v>
      </c>
      <c r="D267" s="5">
        <f>'pampers-en_gb'!B45</f>
        <v>0</v>
      </c>
      <c r="E267" s="5" t="str">
        <f>'pampers-en_gb'!D45</f>
        <v>Inactive</v>
      </c>
      <c r="F267" s="17">
        <f>'pampers-en_gb'!M45</f>
        <v>2</v>
      </c>
      <c r="G267" s="17">
        <f>'pampers-en_gb'!M45</f>
        <v>2</v>
      </c>
      <c r="H267" s="4" t="s">
        <v>1613</v>
      </c>
      <c r="I267" s="4" t="s">
        <v>1480</v>
      </c>
      <c r="J267" s="4" t="s">
        <v>1614</v>
      </c>
      <c r="K267" s="4" t="s">
        <v>1490</v>
      </c>
      <c r="L267" s="4"/>
      <c r="M267" s="4"/>
      <c r="N267" s="4"/>
    </row>
    <row r="268" spans="1:14" ht="60" x14ac:dyDescent="0.35">
      <c r="A268" s="4" t="s">
        <v>1550</v>
      </c>
      <c r="B268" s="5" t="str">
        <f>'pampers-de_de'!C9</f>
        <v>17-DE</v>
      </c>
      <c r="C268" s="5" t="str">
        <f>'pampers-de_de'!E9</f>
        <v>Pampers Baby Fresh Feuchttücher</v>
      </c>
      <c r="D268" s="5" t="str">
        <f>'pampers-de_de'!B9</f>
        <v>Pampers DE</v>
      </c>
      <c r="E268" s="5" t="str">
        <f>'pampers-de_de'!D9</f>
        <v>Inactive</v>
      </c>
      <c r="F268" s="17">
        <f>'pampers-de_de'!M9</f>
        <v>2</v>
      </c>
      <c r="G268" s="17">
        <f>'pampers-de_de'!M9</f>
        <v>2</v>
      </c>
      <c r="H268" s="4" t="s">
        <v>1613</v>
      </c>
      <c r="I268" s="4" t="s">
        <v>1480</v>
      </c>
      <c r="J268" s="4" t="s">
        <v>1614</v>
      </c>
      <c r="K268" s="4" t="s">
        <v>1490</v>
      </c>
      <c r="L268" s="4"/>
      <c r="M268" s="4"/>
      <c r="N268" s="4"/>
    </row>
    <row r="269" spans="1:14" ht="60" x14ac:dyDescent="0.35">
      <c r="A269" s="4" t="s">
        <v>1550</v>
      </c>
      <c r="B269" s="5" t="str">
        <f>'pampers-de_de'!C28</f>
        <v>Pampers_Splashers_Diapers</v>
      </c>
      <c r="C269" s="5" t="str">
        <f>'pampers-de_de'!E28</f>
        <v>Pampers Splashers</v>
      </c>
      <c r="D269" s="5" t="str">
        <f>'pampers-de_de'!B28</f>
        <v>Pampers</v>
      </c>
      <c r="E269" s="5" t="str">
        <f>'pampers-de_de'!D28</f>
        <v>Inactive</v>
      </c>
      <c r="F269" s="17">
        <f>'pampers-de_de'!M28</f>
        <v>2</v>
      </c>
      <c r="G269" s="17">
        <f>'pampers-de_de'!M28</f>
        <v>2</v>
      </c>
      <c r="H269" s="4" t="s">
        <v>1613</v>
      </c>
      <c r="I269" s="4" t="s">
        <v>1480</v>
      </c>
      <c r="J269" s="4" t="s">
        <v>1614</v>
      </c>
      <c r="K269" s="4" t="s">
        <v>1490</v>
      </c>
      <c r="L269" s="4"/>
      <c r="M269" s="4"/>
      <c r="N269" s="4"/>
    </row>
    <row r="270" spans="1:14" ht="60" x14ac:dyDescent="0.35">
      <c r="A270" s="4" t="s">
        <v>1552</v>
      </c>
      <c r="B270" s="5" t="str">
        <f>pgdodotspain!C23</f>
        <v>PANALES_DODOT_CUIDADO_TOTAL</v>
      </c>
      <c r="C270" s="5" t="str">
        <f>pgdodotspain!E23</f>
        <v>PAÑALES Dodot® Cuidado Total</v>
      </c>
      <c r="D270" s="5" t="str">
        <f>pgdodotspain!B23</f>
        <v>Pampers</v>
      </c>
      <c r="E270" s="5" t="str">
        <f>pgdodotspain!D23</f>
        <v>Inactive</v>
      </c>
      <c r="F270" s="17">
        <f>pgdodotspain!M23</f>
        <v>2</v>
      </c>
      <c r="G270" s="17">
        <f>pgdodotspain!M23</f>
        <v>2</v>
      </c>
      <c r="H270" s="4" t="s">
        <v>1613</v>
      </c>
      <c r="I270" s="4" t="s">
        <v>1480</v>
      </c>
      <c r="J270" s="4" t="s">
        <v>1614</v>
      </c>
      <c r="K270" s="4" t="s">
        <v>1490</v>
      </c>
      <c r="L270" s="4"/>
      <c r="M270" s="4"/>
      <c r="N270" s="4"/>
    </row>
    <row r="271" spans="1:14" ht="60" x14ac:dyDescent="0.35">
      <c r="A271" s="4" t="s">
        <v>1553</v>
      </c>
      <c r="B271" s="5" t="str">
        <f>'pampers-ja_jp'!C11</f>
        <v>4902430148948</v>
      </c>
      <c r="C271" s="5" t="str">
        <f>'pampers-ja_jp'!E11</f>
        <v>パンパースさらさらパンツ（ビッグサイズ）</v>
      </c>
      <c r="D271" s="5" t="str">
        <f>'pampers-ja_jp'!B11</f>
        <v>Pampers JP</v>
      </c>
      <c r="E271" s="5" t="str">
        <f>'pampers-ja_jp'!D11</f>
        <v>Inactive</v>
      </c>
      <c r="F271" s="17">
        <f>'pampers-ja_jp'!M11</f>
        <v>2</v>
      </c>
      <c r="G271" s="17">
        <f>'pampers-ja_jp'!M11</f>
        <v>2</v>
      </c>
      <c r="H271" s="4" t="s">
        <v>1613</v>
      </c>
      <c r="I271" s="4" t="s">
        <v>1480</v>
      </c>
      <c r="J271" s="4" t="s">
        <v>1614</v>
      </c>
      <c r="K271" s="4" t="s">
        <v>1490</v>
      </c>
      <c r="L271" s="4"/>
      <c r="M271" s="4"/>
      <c r="N271" s="4"/>
    </row>
    <row r="272" spans="1:14" ht="60" x14ac:dyDescent="0.35">
      <c r="A272" s="4" t="s">
        <v>1553</v>
      </c>
      <c r="B272" s="5" t="str">
        <f>'pampers-ja_jp'!C15</f>
        <v>4902430421911</v>
      </c>
      <c r="C272" s="5" t="str">
        <f>'pampers-ja_jp'!E15</f>
        <v>パンパースのはじめての肌へのいちばん　（Sサイズ）</v>
      </c>
      <c r="D272" s="5" t="str">
        <f>'pampers-ja_jp'!B15</f>
        <v>Pampers JP</v>
      </c>
      <c r="E272" s="5" t="str">
        <f>'pampers-ja_jp'!D15</f>
        <v>Inactive</v>
      </c>
      <c r="F272" s="17">
        <f>'pampers-ja_jp'!M15</f>
        <v>2</v>
      </c>
      <c r="G272" s="17">
        <f>'pampers-ja_jp'!M15</f>
        <v>2</v>
      </c>
      <c r="H272" s="4" t="s">
        <v>1613</v>
      </c>
      <c r="I272" s="4" t="s">
        <v>1480</v>
      </c>
      <c r="J272" s="4" t="s">
        <v>1614</v>
      </c>
      <c r="K272" s="4" t="s">
        <v>1490</v>
      </c>
      <c r="L272" s="4"/>
      <c r="M272" s="4"/>
      <c r="N272" s="4"/>
    </row>
    <row r="273" spans="1:14" ht="60" x14ac:dyDescent="0.35">
      <c r="A273" s="4" t="s">
        <v>1553</v>
      </c>
      <c r="B273" s="5" t="str">
        <f>'pampers-ja_jp'!C39</f>
        <v>PAMPERS_OYASUMIPANTS_XXXL</v>
      </c>
      <c r="C273" s="5">
        <f>'pampers-ja_jp'!E39</f>
        <v>0</v>
      </c>
      <c r="D273" s="5">
        <f>'pampers-ja_jp'!B39</f>
        <v>0</v>
      </c>
      <c r="E273" s="5" t="str">
        <f>'pampers-ja_jp'!D39</f>
        <v>Inactive</v>
      </c>
      <c r="F273" s="17">
        <f>'pampers-ja_jp'!M39</f>
        <v>2</v>
      </c>
      <c r="G273" s="17">
        <f>'pampers-ja_jp'!M39</f>
        <v>2</v>
      </c>
      <c r="H273" s="4" t="s">
        <v>1613</v>
      </c>
      <c r="I273" s="4" t="s">
        <v>1480</v>
      </c>
      <c r="J273" s="4" t="s">
        <v>1614</v>
      </c>
      <c r="K273" s="4" t="s">
        <v>1490</v>
      </c>
      <c r="L273" s="4"/>
      <c r="M273" s="4"/>
      <c r="N273" s="4"/>
    </row>
    <row r="274" spans="1:14" ht="60" x14ac:dyDescent="0.35">
      <c r="A274" s="4" t="s">
        <v>1547</v>
      </c>
      <c r="B274" s="5" t="str">
        <f>'pampers-en_us'!C13</f>
        <v>900826</v>
      </c>
      <c r="C274" s="5" t="str">
        <f>'pampers-en_us'!E13</f>
        <v>Pampers® Swaddlers diapers</v>
      </c>
      <c r="D274" s="5" t="str">
        <f>'pampers-en_us'!B13</f>
        <v>Pampers</v>
      </c>
      <c r="E274" s="5" t="str">
        <f>'pampers-en_us'!D13</f>
        <v>Inactive</v>
      </c>
      <c r="F274" s="17">
        <f>'pampers-en_us'!M13</f>
        <v>1</v>
      </c>
      <c r="G274" s="17">
        <f>'pampers-en_us'!M13</f>
        <v>1</v>
      </c>
      <c r="H274" s="4" t="s">
        <v>1613</v>
      </c>
      <c r="I274" s="4" t="s">
        <v>1480</v>
      </c>
      <c r="J274" s="4" t="s">
        <v>1614</v>
      </c>
      <c r="K274" s="4" t="s">
        <v>1490</v>
      </c>
      <c r="L274" s="4"/>
      <c r="M274" s="4"/>
      <c r="N274" s="4"/>
    </row>
    <row r="275" spans="1:14" ht="60" x14ac:dyDescent="0.35">
      <c r="A275" s="4" t="s">
        <v>1547</v>
      </c>
      <c r="B275" s="5" t="str">
        <f>'pampers-en_us'!C15</f>
        <v>900807</v>
      </c>
      <c r="C275" s="5" t="str">
        <f>'pampers-en_us'!E15</f>
        <v>Pampers® Sensitive Baby Wipes</v>
      </c>
      <c r="D275" s="5" t="str">
        <f>'pampers-en_us'!B15</f>
        <v>Pampers</v>
      </c>
      <c r="E275" s="5" t="str">
        <f>'pampers-en_us'!D15</f>
        <v>Inactive</v>
      </c>
      <c r="F275" s="17">
        <f>'pampers-en_us'!M15</f>
        <v>1</v>
      </c>
      <c r="G275" s="17">
        <f>'pampers-en_us'!M15</f>
        <v>1</v>
      </c>
      <c r="H275" s="4" t="s">
        <v>1613</v>
      </c>
      <c r="I275" s="4" t="s">
        <v>1480</v>
      </c>
      <c r="J275" s="4" t="s">
        <v>1614</v>
      </c>
      <c r="K275" s="4" t="s">
        <v>1490</v>
      </c>
      <c r="L275" s="4"/>
      <c r="M275" s="4"/>
      <c r="N275" s="4"/>
    </row>
    <row r="276" spans="1:14" ht="60" x14ac:dyDescent="0.35">
      <c r="A276" s="4" t="s">
        <v>1547</v>
      </c>
      <c r="B276" s="5" t="str">
        <f>'pampers-en_us'!C66</f>
        <v>037000276142</v>
      </c>
      <c r="C276" s="5" t="str">
        <f>'pampers-en_us'!E66</f>
        <v>Pampers Pure Hybrid Cloth Diaper Cover - Full Floral</v>
      </c>
      <c r="D276" s="5" t="str">
        <f>'pampers-en_us'!B66</f>
        <v>Pampers</v>
      </c>
      <c r="E276" s="5" t="str">
        <f>'pampers-en_us'!D66</f>
        <v>Inactive</v>
      </c>
      <c r="F276" s="17">
        <f>'pampers-en_us'!M66</f>
        <v>1</v>
      </c>
      <c r="G276" s="17">
        <f>'pampers-en_us'!M66</f>
        <v>1</v>
      </c>
      <c r="H276" s="4" t="s">
        <v>1613</v>
      </c>
      <c r="I276" s="4" t="s">
        <v>1480</v>
      </c>
      <c r="J276" s="4" t="s">
        <v>1614</v>
      </c>
      <c r="K276" s="4" t="s">
        <v>1490</v>
      </c>
      <c r="L276" s="4"/>
      <c r="M276" s="4"/>
      <c r="N276" s="4"/>
    </row>
    <row r="277" spans="1:14" ht="60" x14ac:dyDescent="0.35">
      <c r="A277" s="4" t="s">
        <v>1547</v>
      </c>
      <c r="B277" s="5" t="str">
        <f>'pampers-en_us'!C79</f>
        <v>Pampers_Diapers_Cruisers</v>
      </c>
      <c r="C277" s="5" t="str">
        <f>'pampers-en_us'!E79</f>
        <v>Pampers® Cruisers™</v>
      </c>
      <c r="D277" s="5" t="str">
        <f>'pampers-en_us'!B79</f>
        <v>Pampers</v>
      </c>
      <c r="E277" s="5" t="str">
        <f>'pampers-en_us'!D79</f>
        <v>Inactive</v>
      </c>
      <c r="F277" s="17">
        <f>'pampers-en_us'!M79</f>
        <v>1</v>
      </c>
      <c r="G277" s="17">
        <f>'pampers-en_us'!M79</f>
        <v>1</v>
      </c>
      <c r="H277" s="4" t="s">
        <v>1613</v>
      </c>
      <c r="I277" s="4" t="s">
        <v>1480</v>
      </c>
      <c r="J277" s="4" t="s">
        <v>1614</v>
      </c>
      <c r="K277" s="4" t="s">
        <v>1490</v>
      </c>
      <c r="L277" s="4"/>
      <c r="M277" s="4"/>
      <c r="N277" s="4"/>
    </row>
    <row r="278" spans="1:14" ht="60" x14ac:dyDescent="0.35">
      <c r="A278" s="4" t="s">
        <v>1547</v>
      </c>
      <c r="B278" s="5" t="str">
        <f>'pampers-en_us'!C87</f>
        <v>pampers-swaddlers-sweet-dreams-wipes</v>
      </c>
      <c r="C278" s="5" t="str">
        <f>'pampers-en_us'!E87</f>
        <v>Pampers® Swaddlers Sweet Dreams Wipes</v>
      </c>
      <c r="D278" s="5" t="str">
        <f>'pampers-en_us'!B87</f>
        <v>Pampers</v>
      </c>
      <c r="E278" s="5" t="str">
        <f>'pampers-en_us'!D87</f>
        <v>Inactive</v>
      </c>
      <c r="F278" s="17">
        <f>'pampers-en_us'!M87</f>
        <v>1</v>
      </c>
      <c r="G278" s="17">
        <f>'pampers-en_us'!M87</f>
        <v>1</v>
      </c>
      <c r="H278" s="4" t="s">
        <v>1613</v>
      </c>
      <c r="I278" s="4" t="s">
        <v>1480</v>
      </c>
      <c r="J278" s="4" t="s">
        <v>1614</v>
      </c>
      <c r="K278" s="4" t="s">
        <v>1490</v>
      </c>
      <c r="L278" s="4"/>
      <c r="M278" s="4"/>
      <c r="N278" s="4"/>
    </row>
    <row r="279" spans="1:14" ht="60" x14ac:dyDescent="0.35">
      <c r="A279" s="4" t="s">
        <v>1547</v>
      </c>
      <c r="B279" s="5" t="str">
        <f>'pampers-en_us'!C98</f>
        <v>BABYDRYM7-BENL</v>
      </c>
      <c r="C279" s="5">
        <f>'pampers-en_us'!E98</f>
        <v>0</v>
      </c>
      <c r="D279" s="5">
        <f>'pampers-en_us'!B98</f>
        <v>0</v>
      </c>
      <c r="E279" s="5" t="str">
        <f>'pampers-en_us'!D98</f>
        <v>Inactive</v>
      </c>
      <c r="F279" s="17">
        <f>'pampers-en_us'!M98</f>
        <v>1</v>
      </c>
      <c r="G279" s="17">
        <f>'pampers-en_us'!M98</f>
        <v>1</v>
      </c>
      <c r="H279" s="4" t="s">
        <v>1613</v>
      </c>
      <c r="I279" s="4" t="s">
        <v>1480</v>
      </c>
      <c r="J279" s="4" t="s">
        <v>1614</v>
      </c>
      <c r="K279" s="4" t="s">
        <v>1490</v>
      </c>
      <c r="L279" s="4"/>
      <c r="M279" s="4"/>
      <c r="N279" s="4"/>
    </row>
    <row r="280" spans="1:14" ht="60" x14ac:dyDescent="0.35">
      <c r="A280" s="4" t="s">
        <v>1547</v>
      </c>
      <c r="B280" s="5" t="str">
        <f>'pampers-en_us'!C108</f>
        <v>E000085588</v>
      </c>
      <c r="C280" s="5">
        <f>'pampers-en_us'!E108</f>
        <v>0</v>
      </c>
      <c r="D280" s="5">
        <f>'pampers-en_us'!B108</f>
        <v>0</v>
      </c>
      <c r="E280" s="5" t="str">
        <f>'pampers-en_us'!D108</f>
        <v>Inactive</v>
      </c>
      <c r="F280" s="17">
        <f>'pampers-en_us'!M108</f>
        <v>1</v>
      </c>
      <c r="G280" s="17">
        <f>'pampers-en_us'!M108</f>
        <v>1</v>
      </c>
      <c r="H280" s="4" t="s">
        <v>1613</v>
      </c>
      <c r="I280" s="4" t="s">
        <v>1480</v>
      </c>
      <c r="J280" s="4" t="s">
        <v>1614</v>
      </c>
      <c r="K280" s="4" t="s">
        <v>1490</v>
      </c>
      <c r="L280" s="4"/>
      <c r="M280" s="4"/>
      <c r="N280" s="4"/>
    </row>
    <row r="281" spans="1:14" ht="60" x14ac:dyDescent="0.35">
      <c r="A281" s="4" t="s">
        <v>1548</v>
      </c>
      <c r="B281" s="5" t="str">
        <f>'pampers-es'!C8</f>
        <v>930832</v>
      </c>
      <c r="C281" s="5" t="str">
        <f>'pampers-es'!E8</f>
        <v>Toallitas con manzanilla ThickCare Touch de Pampers</v>
      </c>
      <c r="D281" s="5" t="str">
        <f>'pampers-es'!B8</f>
        <v>Pampers</v>
      </c>
      <c r="E281" s="5" t="str">
        <f>'pampers-es'!D8</f>
        <v>Inactive</v>
      </c>
      <c r="F281" s="17">
        <f>'pampers-es'!M8</f>
        <v>1</v>
      </c>
      <c r="G281" s="17">
        <f>'pampers-es'!M8</f>
        <v>1</v>
      </c>
      <c r="H281" s="4" t="s">
        <v>1613</v>
      </c>
      <c r="I281" s="4" t="s">
        <v>1480</v>
      </c>
      <c r="J281" s="4" t="s">
        <v>1614</v>
      </c>
      <c r="K281" s="4" t="s">
        <v>1490</v>
      </c>
      <c r="L281" s="4"/>
      <c r="M281" s="4"/>
      <c r="N281" s="4"/>
    </row>
    <row r="282" spans="1:14" ht="60" x14ac:dyDescent="0.35">
      <c r="A282" s="4" t="s">
        <v>1548</v>
      </c>
      <c r="B282" s="5" t="str">
        <f>'pampers-es'!C9</f>
        <v>930814</v>
      </c>
      <c r="C282" s="5" t="str">
        <f>'pampers-es'!E9</f>
        <v>Toallitas frescas para bebé SoftCare de Pampers</v>
      </c>
      <c r="D282" s="5" t="str">
        <f>'pampers-es'!B9</f>
        <v>Pampers</v>
      </c>
      <c r="E282" s="5" t="str">
        <f>'pampers-es'!D9</f>
        <v>Inactive</v>
      </c>
      <c r="F282" s="17">
        <f>'pampers-es'!M9</f>
        <v>1</v>
      </c>
      <c r="G282" s="17">
        <f>'pampers-es'!M9</f>
        <v>1</v>
      </c>
      <c r="H282" s="4" t="s">
        <v>1613</v>
      </c>
      <c r="I282" s="4" t="s">
        <v>1480</v>
      </c>
      <c r="J282" s="4" t="s">
        <v>1614</v>
      </c>
      <c r="K282" s="4" t="s">
        <v>1490</v>
      </c>
      <c r="L282" s="4"/>
      <c r="M282" s="4"/>
      <c r="N282" s="4"/>
    </row>
    <row r="283" spans="1:14" ht="60" x14ac:dyDescent="0.35">
      <c r="A283" s="4" t="s">
        <v>1548</v>
      </c>
      <c r="B283" s="5" t="str">
        <f>'pampers-es'!C10</f>
        <v>261054781</v>
      </c>
      <c r="C283" s="5" t="str">
        <f>'pampers-es'!E10</f>
        <v>Pampers® Cruisers con diseños de USA</v>
      </c>
      <c r="D283" s="5" t="str">
        <f>'pampers-es'!B10</f>
        <v>Pampers</v>
      </c>
      <c r="E283" s="5" t="str">
        <f>'pampers-es'!D10</f>
        <v>Inactive</v>
      </c>
      <c r="F283" s="17">
        <f>'pampers-es'!M10</f>
        <v>1</v>
      </c>
      <c r="G283" s="17">
        <f>'pampers-es'!M10</f>
        <v>1</v>
      </c>
      <c r="H283" s="4" t="s">
        <v>1613</v>
      </c>
      <c r="I283" s="4" t="s">
        <v>1480</v>
      </c>
      <c r="J283" s="4" t="s">
        <v>1614</v>
      </c>
      <c r="K283" s="4" t="s">
        <v>1490</v>
      </c>
      <c r="L283" s="4"/>
      <c r="M283" s="4"/>
      <c r="N283" s="4"/>
    </row>
    <row r="284" spans="1:14" ht="60" x14ac:dyDescent="0.35">
      <c r="A284" s="4" t="s">
        <v>1548</v>
      </c>
      <c r="B284" s="5" t="str">
        <f>'pampers-es'!C17</f>
        <v>10930815</v>
      </c>
      <c r="C284" s="5" t="str">
        <f>'pampers-es'!E17</f>
        <v>Toallitas húmedas Pampers® SoftCare, sin fragancia</v>
      </c>
      <c r="D284" s="5" t="str">
        <f>'pampers-es'!B17</f>
        <v>Pampers</v>
      </c>
      <c r="E284" s="5" t="str">
        <f>'pampers-es'!D17</f>
        <v>Inactive</v>
      </c>
      <c r="F284" s="17">
        <f>'pampers-es'!M17</f>
        <v>1</v>
      </c>
      <c r="G284" s="17">
        <f>'pampers-es'!M17</f>
        <v>1</v>
      </c>
      <c r="H284" s="4" t="s">
        <v>1613</v>
      </c>
      <c r="I284" s="4" t="s">
        <v>1480</v>
      </c>
      <c r="J284" s="4" t="s">
        <v>1614</v>
      </c>
      <c r="K284" s="4" t="s">
        <v>1490</v>
      </c>
      <c r="L284" s="4"/>
      <c r="M284" s="4"/>
      <c r="N284" s="4"/>
    </row>
    <row r="285" spans="1:14" ht="60" x14ac:dyDescent="0.35">
      <c r="A285" s="4" t="s">
        <v>1548</v>
      </c>
      <c r="B285" s="5" t="str">
        <f>'pampers-es'!C18</f>
        <v>10930826</v>
      </c>
      <c r="C285" s="5" t="str">
        <f>'pampers-es'!E18</f>
        <v>Toallitas húmedas Pampers® Sensitive ThickCare</v>
      </c>
      <c r="D285" s="5" t="str">
        <f>'pampers-es'!B18</f>
        <v>Pampers</v>
      </c>
      <c r="E285" s="5" t="str">
        <f>'pampers-es'!D18</f>
        <v>Inactive</v>
      </c>
      <c r="F285" s="17">
        <f>'pampers-es'!M18</f>
        <v>1</v>
      </c>
      <c r="G285" s="17">
        <f>'pampers-es'!M18</f>
        <v>1</v>
      </c>
      <c r="H285" s="4" t="s">
        <v>1613</v>
      </c>
      <c r="I285" s="4" t="s">
        <v>1480</v>
      </c>
      <c r="J285" s="4" t="s">
        <v>1614</v>
      </c>
      <c r="K285" s="4" t="s">
        <v>1490</v>
      </c>
      <c r="L285" s="4"/>
      <c r="M285" s="4"/>
      <c r="N285" s="4"/>
    </row>
    <row r="286" spans="1:14" ht="60" x14ac:dyDescent="0.35">
      <c r="A286" s="4" t="s">
        <v>1548</v>
      </c>
      <c r="B286" s="5" t="str">
        <f>'pampers-es'!C23</f>
        <v>930826</v>
      </c>
      <c r="C286" s="5" t="str">
        <f>'pampers-es'!E23</f>
        <v>Toallitas húmedas Pampers® Sensitive ThickCare</v>
      </c>
      <c r="D286" s="5" t="str">
        <f>'pampers-es'!B23</f>
        <v>Pampers</v>
      </c>
      <c r="E286" s="5" t="str">
        <f>'pampers-es'!D23</f>
        <v>Inactive</v>
      </c>
      <c r="F286" s="17">
        <f>'pampers-es'!M23</f>
        <v>1</v>
      </c>
      <c r="G286" s="17">
        <f>'pampers-es'!M23</f>
        <v>1</v>
      </c>
      <c r="H286" s="4" t="s">
        <v>1613</v>
      </c>
      <c r="I286" s="4" t="s">
        <v>1480</v>
      </c>
      <c r="J286" s="4" t="s">
        <v>1614</v>
      </c>
      <c r="K286" s="4" t="s">
        <v>1490</v>
      </c>
      <c r="L286" s="4"/>
      <c r="M286" s="4"/>
      <c r="N286" s="4"/>
    </row>
    <row r="287" spans="1:14" ht="60" x14ac:dyDescent="0.35">
      <c r="A287" s="4" t="s">
        <v>1548</v>
      </c>
      <c r="B287" s="5" t="str">
        <f>'pampers-es'!C37</f>
        <v>Pampers_BabyDry</v>
      </c>
      <c r="C287" s="5">
        <f>'pampers-es'!E37</f>
        <v>0</v>
      </c>
      <c r="D287" s="5">
        <f>'pampers-es'!B37</f>
        <v>0</v>
      </c>
      <c r="E287" s="5" t="str">
        <f>'pampers-es'!D37</f>
        <v>Inactive</v>
      </c>
      <c r="F287" s="17">
        <f>'pampers-es'!M37</f>
        <v>1</v>
      </c>
      <c r="G287" s="17">
        <f>'pampers-es'!M37</f>
        <v>1</v>
      </c>
      <c r="H287" s="4" t="s">
        <v>1613</v>
      </c>
      <c r="I287" s="4" t="s">
        <v>1480</v>
      </c>
      <c r="J287" s="4" t="s">
        <v>1614</v>
      </c>
      <c r="K287" s="4" t="s">
        <v>1490</v>
      </c>
      <c r="L287" s="4"/>
      <c r="M287" s="4"/>
      <c r="N287" s="4"/>
    </row>
    <row r="288" spans="1:14" ht="60" x14ac:dyDescent="0.35">
      <c r="A288" s="4" t="s">
        <v>1548</v>
      </c>
      <c r="B288" s="5" t="str">
        <f>'pampers-es'!C38</f>
        <v>Pampers_ Pure_Protection_Diapers</v>
      </c>
      <c r="C288" s="5">
        <f>'pampers-es'!E38</f>
        <v>0</v>
      </c>
      <c r="D288" s="5">
        <f>'pampers-es'!B38</f>
        <v>0</v>
      </c>
      <c r="E288" s="5" t="str">
        <f>'pampers-es'!D38</f>
        <v>Inactive</v>
      </c>
      <c r="F288" s="17">
        <f>'pampers-es'!M38</f>
        <v>1</v>
      </c>
      <c r="G288" s="17">
        <f>'pampers-es'!M38</f>
        <v>1</v>
      </c>
      <c r="H288" s="4" t="s">
        <v>1613</v>
      </c>
      <c r="I288" s="4" t="s">
        <v>1480</v>
      </c>
      <c r="J288" s="4" t="s">
        <v>1614</v>
      </c>
      <c r="K288" s="4" t="s">
        <v>1490</v>
      </c>
      <c r="L288" s="4"/>
      <c r="M288" s="4"/>
      <c r="N288" s="4"/>
    </row>
    <row r="289" spans="1:14" ht="60" x14ac:dyDescent="0.35">
      <c r="A289" s="4" t="s">
        <v>1549</v>
      </c>
      <c r="B289" s="5" t="str">
        <f>'pampers-en_gb'!C29</f>
        <v>171074137-GB</v>
      </c>
      <c r="C289" s="5" t="str">
        <f>'pampers-en_gb'!E29</f>
        <v>Pampers – Underjams (boys)</v>
      </c>
      <c r="D289" s="5" t="str">
        <f>'pampers-en_gb'!B29</f>
        <v>Pampers</v>
      </c>
      <c r="E289" s="5" t="str">
        <f>'pampers-en_gb'!D29</f>
        <v>Inactive</v>
      </c>
      <c r="F289" s="17">
        <f>'pampers-en_gb'!M29</f>
        <v>1</v>
      </c>
      <c r="G289" s="17">
        <f>'pampers-en_gb'!M29</f>
        <v>1</v>
      </c>
      <c r="H289" s="4" t="s">
        <v>1613</v>
      </c>
      <c r="I289" s="4" t="s">
        <v>1480</v>
      </c>
      <c r="J289" s="4" t="s">
        <v>1614</v>
      </c>
      <c r="K289" s="4" t="s">
        <v>1490</v>
      </c>
      <c r="L289" s="4"/>
      <c r="M289" s="4"/>
      <c r="N289" s="4"/>
    </row>
    <row r="290" spans="1:14" ht="60" x14ac:dyDescent="0.35">
      <c r="A290" s="4" t="s">
        <v>1550</v>
      </c>
      <c r="B290" s="5" t="str">
        <f>'pampers-de_de'!C38</f>
        <v>6-DE</v>
      </c>
      <c r="C290" s="5">
        <f>'pampers-de_de'!E38</f>
        <v>0</v>
      </c>
      <c r="D290" s="5">
        <f>'pampers-de_de'!B38</f>
        <v>0</v>
      </c>
      <c r="E290" s="5" t="str">
        <f>'pampers-de_de'!D38</f>
        <v>Inactive</v>
      </c>
      <c r="F290" s="17">
        <f>'pampers-de_de'!M38</f>
        <v>1</v>
      </c>
      <c r="G290" s="17">
        <f>'pampers-de_de'!M38</f>
        <v>1</v>
      </c>
      <c r="H290" s="4" t="s">
        <v>1613</v>
      </c>
      <c r="I290" s="4" t="s">
        <v>1480</v>
      </c>
      <c r="J290" s="4" t="s">
        <v>1614</v>
      </c>
      <c r="K290" s="4" t="s">
        <v>1490</v>
      </c>
      <c r="L290" s="4"/>
      <c r="M290" s="4"/>
      <c r="N290" s="4"/>
    </row>
    <row r="291" spans="1:14" ht="60" x14ac:dyDescent="0.35">
      <c r="A291" s="4" t="s">
        <v>1550</v>
      </c>
      <c r="B291" s="5" t="str">
        <f>'pampers-de_de'!C39</f>
        <v>10-DE</v>
      </c>
      <c r="C291" s="5">
        <f>'pampers-de_de'!E39</f>
        <v>0</v>
      </c>
      <c r="D291" s="5">
        <f>'pampers-de_de'!B39</f>
        <v>0</v>
      </c>
      <c r="E291" s="5" t="str">
        <f>'pampers-de_de'!D39</f>
        <v>Inactive</v>
      </c>
      <c r="F291" s="17">
        <f>'pampers-de_de'!M39</f>
        <v>1</v>
      </c>
      <c r="G291" s="17">
        <f>'pampers-de_de'!M39</f>
        <v>1</v>
      </c>
      <c r="H291" s="4" t="s">
        <v>1613</v>
      </c>
      <c r="I291" s="4" t="s">
        <v>1480</v>
      </c>
      <c r="J291" s="4" t="s">
        <v>1614</v>
      </c>
      <c r="K291" s="4" t="s">
        <v>1490</v>
      </c>
      <c r="L291" s="4"/>
      <c r="M291" s="4"/>
      <c r="N291" s="4"/>
    </row>
    <row r="292" spans="1:14" ht="60" x14ac:dyDescent="0.35">
      <c r="A292" s="4" t="s">
        <v>1551</v>
      </c>
      <c r="B292" s="5" t="str">
        <f>'pampers-fr_fr'!C8</f>
        <v>181156484-FR</v>
      </c>
      <c r="C292" s="5" t="str">
        <f>'pampers-fr_fr'!E8</f>
        <v>Lingettes Pampers Sensitive</v>
      </c>
      <c r="D292" s="5" t="str">
        <f>'pampers-fr_fr'!B8</f>
        <v>Pampers FR</v>
      </c>
      <c r="E292" s="5" t="str">
        <f>'pampers-fr_fr'!D8</f>
        <v>Inactive</v>
      </c>
      <c r="F292" s="17">
        <f>'pampers-fr_fr'!M8</f>
        <v>1</v>
      </c>
      <c r="G292" s="17">
        <f>'pampers-fr_fr'!M8</f>
        <v>1</v>
      </c>
      <c r="H292" s="4" t="s">
        <v>1613</v>
      </c>
      <c r="I292" s="4" t="s">
        <v>1480</v>
      </c>
      <c r="J292" s="4" t="s">
        <v>1614</v>
      </c>
      <c r="K292" s="4" t="s">
        <v>1490</v>
      </c>
      <c r="L292" s="4"/>
      <c r="M292" s="4"/>
      <c r="N292" s="4"/>
    </row>
    <row r="293" spans="1:14" ht="60" x14ac:dyDescent="0.35">
      <c r="A293" s="4" t="s">
        <v>1551</v>
      </c>
      <c r="B293" s="5" t="str">
        <f>'pampers-fr_fr'!C11</f>
        <v>8-FR</v>
      </c>
      <c r="C293" s="5" t="str">
        <f>'pampers-fr_fr'!E11</f>
        <v>Lingettes Pampers Sans Parfum</v>
      </c>
      <c r="D293" s="5" t="str">
        <f>'pampers-fr_fr'!B11</f>
        <v>Pampers FR</v>
      </c>
      <c r="E293" s="5" t="str">
        <f>'pampers-fr_fr'!D11</f>
        <v>Inactive</v>
      </c>
      <c r="F293" s="17">
        <f>'pampers-fr_fr'!M11</f>
        <v>1</v>
      </c>
      <c r="G293" s="17">
        <f>'pampers-fr_fr'!M11</f>
        <v>1</v>
      </c>
      <c r="H293" s="4" t="s">
        <v>1613</v>
      </c>
      <c r="I293" s="4" t="s">
        <v>1480</v>
      </c>
      <c r="J293" s="4" t="s">
        <v>1614</v>
      </c>
      <c r="K293" s="4" t="s">
        <v>1490</v>
      </c>
      <c r="L293" s="4"/>
      <c r="M293" s="4"/>
      <c r="N293" s="4"/>
    </row>
    <row r="294" spans="1:14" ht="60" x14ac:dyDescent="0.35">
      <c r="A294" s="4" t="s">
        <v>1551</v>
      </c>
      <c r="B294" s="5" t="str">
        <f>'pampers-fr_fr'!C44</f>
        <v>PROTECTION-ACTIVE-FIT-COUCHES-ID</v>
      </c>
      <c r="C294" s="5" t="str">
        <f>'pampers-fr_fr'!E44</f>
        <v>COUCHES Pampers Premium Protection Active Fit</v>
      </c>
      <c r="D294" s="5" t="str">
        <f>'pampers-fr_fr'!B44</f>
        <v>Pampers</v>
      </c>
      <c r="E294" s="5" t="str">
        <f>'pampers-fr_fr'!D44</f>
        <v>Inactive</v>
      </c>
      <c r="F294" s="17">
        <f>'pampers-fr_fr'!M44</f>
        <v>1</v>
      </c>
      <c r="G294" s="17">
        <f>'pampers-fr_fr'!M44</f>
        <v>1</v>
      </c>
      <c r="H294" s="4" t="s">
        <v>1613</v>
      </c>
      <c r="I294" s="4" t="s">
        <v>1480</v>
      </c>
      <c r="J294" s="4" t="s">
        <v>1614</v>
      </c>
      <c r="K294" s="4" t="s">
        <v>1490</v>
      </c>
      <c r="L294" s="4"/>
      <c r="M294" s="4"/>
      <c r="N294" s="4"/>
    </row>
    <row r="295" spans="1:14" ht="60" x14ac:dyDescent="0.35">
      <c r="A295" s="4" t="s">
        <v>1552</v>
      </c>
      <c r="B295" s="5" t="str">
        <f>pgdodotspain!C16</f>
        <v>TOALLITAS_Dodot_Cuidado_Total_Coco</v>
      </c>
      <c r="C295" s="5" t="str">
        <f>pgdodotspain!E16</f>
        <v>TOALLITAS Dodot® Cuidado Total Coco</v>
      </c>
      <c r="D295" s="5" t="str">
        <f>pgdodotspain!B16</f>
        <v>Pampers</v>
      </c>
      <c r="E295" s="5" t="str">
        <f>pgdodotspain!D16</f>
        <v>Inactive</v>
      </c>
      <c r="F295" s="17">
        <f>pgdodotspain!M16</f>
        <v>1</v>
      </c>
      <c r="G295" s="17">
        <f>pgdodotspain!M16</f>
        <v>1</v>
      </c>
      <c r="H295" s="4" t="s">
        <v>1613</v>
      </c>
      <c r="I295" s="4" t="s">
        <v>1480</v>
      </c>
      <c r="J295" s="4" t="s">
        <v>1614</v>
      </c>
      <c r="K295" s="4" t="s">
        <v>1490</v>
      </c>
      <c r="L295" s="4"/>
      <c r="M295" s="4"/>
      <c r="N295" s="4"/>
    </row>
    <row r="296" spans="1:14" ht="60" x14ac:dyDescent="0.35">
      <c r="A296" s="4" t="s">
        <v>1552</v>
      </c>
      <c r="B296" s="5" t="str">
        <f>pgdodotspain!C17</f>
        <v>Ropa_Interior_Absorbente</v>
      </c>
      <c r="C296" s="5" t="str">
        <f>pgdodotspain!E17</f>
        <v>Ropa Interior Absorbente de Dodot®</v>
      </c>
      <c r="D296" s="5" t="str">
        <f>pgdodotspain!B17</f>
        <v>Pampers</v>
      </c>
      <c r="E296" s="5" t="str">
        <f>pgdodotspain!D17</f>
        <v>Inactive</v>
      </c>
      <c r="F296" s="17">
        <f>pgdodotspain!M17</f>
        <v>1</v>
      </c>
      <c r="G296" s="17">
        <f>pgdodotspain!M17</f>
        <v>1</v>
      </c>
      <c r="H296" s="4" t="s">
        <v>1613</v>
      </c>
      <c r="I296" s="4" t="s">
        <v>1480</v>
      </c>
      <c r="J296" s="4" t="s">
        <v>1614</v>
      </c>
      <c r="K296" s="4" t="s">
        <v>1490</v>
      </c>
      <c r="L296" s="4"/>
      <c r="M296" s="4"/>
      <c r="N296" s="4"/>
    </row>
    <row r="297" spans="1:14" ht="60" x14ac:dyDescent="0.35">
      <c r="A297" s="4" t="s">
        <v>1552</v>
      </c>
      <c r="B297" s="5" t="str">
        <f>pgdodotspain!C18</f>
        <v>TOALLITAS_MANOS_LIMPIAS</v>
      </c>
      <c r="C297" s="5" t="str">
        <f>pgdodotspain!E18</f>
        <v>Toallitas Dodot® Manos Limpias &amp; GO</v>
      </c>
      <c r="D297" s="5" t="str">
        <f>pgdodotspain!B18</f>
        <v>Pampers</v>
      </c>
      <c r="E297" s="5" t="str">
        <f>pgdodotspain!D18</f>
        <v>Inactive</v>
      </c>
      <c r="F297" s="17">
        <f>pgdodotspain!M18</f>
        <v>1</v>
      </c>
      <c r="G297" s="17">
        <f>pgdodotspain!M18</f>
        <v>1</v>
      </c>
      <c r="H297" s="4" t="s">
        <v>1613</v>
      </c>
      <c r="I297" s="4" t="s">
        <v>1480</v>
      </c>
      <c r="J297" s="4" t="s">
        <v>1614</v>
      </c>
      <c r="K297" s="4" t="s">
        <v>1490</v>
      </c>
      <c r="L297" s="4"/>
      <c r="M297" s="4"/>
      <c r="N297" s="4"/>
    </row>
    <row r="298" spans="1:14" ht="60" x14ac:dyDescent="0.35">
      <c r="A298" s="4" t="s">
        <v>1552</v>
      </c>
      <c r="B298" s="5" t="str">
        <f>pgdodotspain!C32</f>
        <v>2140000""</v>
      </c>
      <c r="C298" s="5">
        <f>pgdodotspain!E32</f>
        <v>0</v>
      </c>
      <c r="D298" s="5">
        <f>pgdodotspain!B32</f>
        <v>0</v>
      </c>
      <c r="E298" s="5" t="str">
        <f>pgdodotspain!D32</f>
        <v>Inactive</v>
      </c>
      <c r="F298" s="17">
        <f>pgdodotspain!M32</f>
        <v>1</v>
      </c>
      <c r="G298" s="17">
        <f>pgdodotspain!M32</f>
        <v>1</v>
      </c>
      <c r="H298" s="4" t="s">
        <v>1613</v>
      </c>
      <c r="I298" s="4" t="s">
        <v>1480</v>
      </c>
      <c r="J298" s="4" t="s">
        <v>1614</v>
      </c>
      <c r="K298" s="4" t="s">
        <v>1490</v>
      </c>
      <c r="L298" s="4"/>
      <c r="M298" s="4"/>
      <c r="N298" s="4"/>
    </row>
    <row r="299" spans="1:14" ht="60" x14ac:dyDescent="0.35">
      <c r="A299" s="4" t="s">
        <v>1553</v>
      </c>
      <c r="B299" s="5" t="str">
        <f>'pampers-ja_jp'!C8</f>
        <v>4902430148641</v>
      </c>
      <c r="C299" s="5" t="str">
        <f>'pampers-ja_jp'!E8</f>
        <v>パンパース　さらさらケアテープ（Sサイズ）</v>
      </c>
      <c r="D299" s="5" t="str">
        <f>'pampers-ja_jp'!B8</f>
        <v>Pampers JP</v>
      </c>
      <c r="E299" s="5" t="str">
        <f>'pampers-ja_jp'!D8</f>
        <v>Inactive</v>
      </c>
      <c r="F299" s="17">
        <f>'pampers-ja_jp'!M8</f>
        <v>1</v>
      </c>
      <c r="G299" s="17">
        <f>'pampers-ja_jp'!M8</f>
        <v>1</v>
      </c>
      <c r="H299" s="4" t="s">
        <v>1613</v>
      </c>
      <c r="I299" s="4" t="s">
        <v>1480</v>
      </c>
      <c r="J299" s="4" t="s">
        <v>1614</v>
      </c>
      <c r="K299" s="4" t="s">
        <v>1490</v>
      </c>
      <c r="L299" s="4"/>
      <c r="M299" s="4"/>
      <c r="N299" s="4"/>
    </row>
    <row r="300" spans="1:14" ht="60" x14ac:dyDescent="0.35">
      <c r="A300" s="4" t="s">
        <v>1553</v>
      </c>
      <c r="B300" s="5" t="str">
        <f>'pampers-ja_jp'!C12</f>
        <v>8-JP</v>
      </c>
      <c r="C300" s="5" t="str">
        <f>'pampers-ja_jp'!E12</f>
        <v>パンパースのはじめての肌へのいちばん　（新生児サイズ）</v>
      </c>
      <c r="D300" s="5" t="str">
        <f>'pampers-ja_jp'!B12</f>
        <v>Pampers JP</v>
      </c>
      <c r="E300" s="5" t="str">
        <f>'pampers-ja_jp'!D12</f>
        <v>Inactive</v>
      </c>
      <c r="F300" s="17">
        <f>'pampers-ja_jp'!M12</f>
        <v>1</v>
      </c>
      <c r="G300" s="17">
        <f>'pampers-ja_jp'!M12</f>
        <v>1</v>
      </c>
      <c r="H300" s="4" t="s">
        <v>1613</v>
      </c>
      <c r="I300" s="4" t="s">
        <v>1480</v>
      </c>
      <c r="J300" s="4" t="s">
        <v>1614</v>
      </c>
      <c r="K300" s="4" t="s">
        <v>1490</v>
      </c>
      <c r="L300" s="4"/>
      <c r="M300" s="4"/>
      <c r="N300" s="4"/>
    </row>
    <row r="301" spans="1:14" ht="60" x14ac:dyDescent="0.35">
      <c r="A301" s="4" t="s">
        <v>1553</v>
      </c>
      <c r="B301" s="5" t="str">
        <f>'pampers-ja_jp'!C14</f>
        <v>4902430148597</v>
      </c>
      <c r="C301" s="5" t="str">
        <f>'pampers-ja_jp'!E14</f>
        <v>パンパース　さらさらケアテープ（新生児サイズ）</v>
      </c>
      <c r="D301" s="5" t="str">
        <f>'pampers-ja_jp'!B14</f>
        <v>Pampers JP</v>
      </c>
      <c r="E301" s="5" t="str">
        <f>'pampers-ja_jp'!D14</f>
        <v>Inactive</v>
      </c>
      <c r="F301" s="17">
        <f>'pampers-ja_jp'!M14</f>
        <v>1</v>
      </c>
      <c r="G301" s="17">
        <f>'pampers-ja_jp'!M14</f>
        <v>1</v>
      </c>
      <c r="H301" s="4" t="s">
        <v>1613</v>
      </c>
      <c r="I301" s="4" t="s">
        <v>1480</v>
      </c>
      <c r="J301" s="4" t="s">
        <v>1614</v>
      </c>
      <c r="K301" s="4" t="s">
        <v>1490</v>
      </c>
      <c r="L301" s="4"/>
      <c r="M301" s="4"/>
      <c r="N301" s="4"/>
    </row>
    <row r="302" spans="1:14" ht="60" x14ac:dyDescent="0.35">
      <c r="A302" s="4" t="s">
        <v>1553</v>
      </c>
      <c r="B302" s="5" t="str">
        <f>'pampers-ja_jp'!C16</f>
        <v>11-JP</v>
      </c>
      <c r="C302" s="5" t="str">
        <f>'pampers-ja_jp'!E16</f>
        <v>パンパース　ふわふわシート</v>
      </c>
      <c r="D302" s="5" t="str">
        <f>'pampers-ja_jp'!B16</f>
        <v>Pampers JP</v>
      </c>
      <c r="E302" s="5" t="str">
        <f>'pampers-ja_jp'!D16</f>
        <v>Inactive</v>
      </c>
      <c r="F302" s="17">
        <f>'pampers-ja_jp'!M16</f>
        <v>1</v>
      </c>
      <c r="G302" s="17">
        <f>'pampers-ja_jp'!M16</f>
        <v>1</v>
      </c>
      <c r="H302" s="4" t="s">
        <v>1613</v>
      </c>
      <c r="I302" s="4" t="s">
        <v>1480</v>
      </c>
      <c r="J302" s="4" t="s">
        <v>1614</v>
      </c>
      <c r="K302" s="4" t="s">
        <v>1490</v>
      </c>
      <c r="L302" s="4"/>
      <c r="M302" s="4"/>
      <c r="N302" s="4"/>
    </row>
    <row r="303" spans="1:14" ht="60" x14ac:dyDescent="0.35">
      <c r="A303" s="4" t="s">
        <v>1553</v>
      </c>
      <c r="B303" s="5" t="str">
        <f>'pampers-ja_jp'!C17</f>
        <v>7-JP</v>
      </c>
      <c r="C303" s="5" t="str">
        <f>'pampers-ja_jp'!E17</f>
        <v>パンパース　卒業パンツ</v>
      </c>
      <c r="D303" s="5" t="str">
        <f>'pampers-ja_jp'!B17</f>
        <v>Pampers JP</v>
      </c>
      <c r="E303" s="5" t="str">
        <f>'pampers-ja_jp'!D17</f>
        <v>Inactive</v>
      </c>
      <c r="F303" s="17">
        <f>'pampers-ja_jp'!M17</f>
        <v>1</v>
      </c>
      <c r="G303" s="17">
        <f>'pampers-ja_jp'!M17</f>
        <v>1</v>
      </c>
      <c r="H303" s="4" t="s">
        <v>1613</v>
      </c>
      <c r="I303" s="4" t="s">
        <v>1480</v>
      </c>
      <c r="J303" s="4" t="s">
        <v>1614</v>
      </c>
      <c r="K303" s="4" t="s">
        <v>1490</v>
      </c>
      <c r="L303" s="4"/>
      <c r="M303" s="4"/>
      <c r="N303" s="4"/>
    </row>
    <row r="304" spans="1:14" ht="60" x14ac:dyDescent="0.35">
      <c r="A304" s="4" t="s">
        <v>1553</v>
      </c>
      <c r="B304" s="5" t="str">
        <f>'pampers-ja_jp'!C18</f>
        <v>4902430522816</v>
      </c>
      <c r="C304" s="5" t="str">
        <f>'pampers-ja_jp'!E18</f>
        <v>パンパースさらさらパンツ（Sサイズ）</v>
      </c>
      <c r="D304" s="5" t="str">
        <f>'pampers-ja_jp'!B18</f>
        <v>Pampers JP</v>
      </c>
      <c r="E304" s="5" t="str">
        <f>'pampers-ja_jp'!D18</f>
        <v>Inactive</v>
      </c>
      <c r="F304" s="17">
        <f>'pampers-ja_jp'!M18</f>
        <v>1</v>
      </c>
      <c r="G304" s="17">
        <f>'pampers-ja_jp'!M18</f>
        <v>1</v>
      </c>
      <c r="H304" s="4" t="s">
        <v>1613</v>
      </c>
      <c r="I304" s="4" t="s">
        <v>1480</v>
      </c>
      <c r="J304" s="4" t="s">
        <v>1614</v>
      </c>
      <c r="K304" s="4" t="s">
        <v>1490</v>
      </c>
      <c r="L304" s="4"/>
      <c r="M304" s="4"/>
      <c r="N304" s="4"/>
    </row>
    <row r="305" spans="1:14" ht="60" x14ac:dyDescent="0.35">
      <c r="A305" s="4" t="s">
        <v>1553</v>
      </c>
      <c r="B305" s="5" t="str">
        <f>'pampers-ja_jp'!C24</f>
        <v>HARAMAKI_PANTS</v>
      </c>
      <c r="C305" s="5" t="str">
        <f>'pampers-ja_jp'!E24</f>
        <v>パンパース®はらまきパンツ</v>
      </c>
      <c r="D305" s="5" t="str">
        <f>'pampers-ja_jp'!B24</f>
        <v>Pampers</v>
      </c>
      <c r="E305" s="5" t="str">
        <f>'pampers-ja_jp'!D24</f>
        <v>Inactive</v>
      </c>
      <c r="F305" s="17">
        <f>'pampers-ja_jp'!M24</f>
        <v>1</v>
      </c>
      <c r="G305" s="17">
        <f>'pampers-ja_jp'!M24</f>
        <v>1</v>
      </c>
      <c r="H305" s="4" t="s">
        <v>1613</v>
      </c>
      <c r="I305" s="4" t="s">
        <v>1480</v>
      </c>
      <c r="J305" s="4" t="s">
        <v>1614</v>
      </c>
      <c r="K305" s="4" t="s">
        <v>1490</v>
      </c>
      <c r="L305" s="4"/>
      <c r="M305" s="4"/>
      <c r="N305" s="4"/>
    </row>
    <row r="306" spans="1:14" ht="60" x14ac:dyDescent="0.35">
      <c r="A306" s="4" t="s">
        <v>1553</v>
      </c>
      <c r="B306" s="5" t="str">
        <f>'pampers-ja_jp'!C26</f>
        <v>Pampers_Summer_Pants</v>
      </c>
      <c r="C306" s="5" t="str">
        <f>'pampers-ja_jp'!E26</f>
        <v>さらさら風通しパンツ</v>
      </c>
      <c r="D306" s="5" t="str">
        <f>'pampers-ja_jp'!B26</f>
        <v>Pampers</v>
      </c>
      <c r="E306" s="5" t="str">
        <f>'pampers-ja_jp'!D26</f>
        <v>Inactive</v>
      </c>
      <c r="F306" s="17">
        <f>'pampers-ja_jp'!M26</f>
        <v>1</v>
      </c>
      <c r="G306" s="17">
        <f>'pampers-ja_jp'!M26</f>
        <v>1</v>
      </c>
      <c r="H306" s="4" t="s">
        <v>1613</v>
      </c>
      <c r="I306" s="4" t="s">
        <v>1480</v>
      </c>
      <c r="J306" s="4" t="s">
        <v>1614</v>
      </c>
      <c r="K306" s="4" t="s">
        <v>1490</v>
      </c>
      <c r="L306" s="4"/>
      <c r="M306" s="4"/>
      <c r="N306" s="4"/>
    </row>
    <row r="307" spans="1:14" x14ac:dyDescent="0.35">
      <c r="A307" s="6"/>
      <c r="B307" s="6"/>
      <c r="C307" s="6"/>
      <c r="D307" s="6"/>
      <c r="E307" s="6"/>
      <c r="F307" s="6"/>
      <c r="G307" s="6"/>
      <c r="H307" s="6"/>
      <c r="I307" s="6"/>
      <c r="J307" s="6"/>
      <c r="K307" s="6"/>
      <c r="L307" s="6"/>
      <c r="M307" s="6"/>
      <c r="N307" s="6"/>
    </row>
    <row r="308" spans="1:14" ht="16.5" thickBot="1" x14ac:dyDescent="0.4">
      <c r="A308" s="24" t="s">
        <v>1621</v>
      </c>
      <c r="B308" s="24"/>
      <c r="C308" s="24"/>
      <c r="D308" s="24"/>
      <c r="E308" s="24"/>
      <c r="F308" s="24"/>
      <c r="G308" s="24"/>
      <c r="H308" s="24"/>
      <c r="I308" s="25"/>
      <c r="J308" s="25"/>
      <c r="K308" s="25"/>
      <c r="L308" s="25"/>
      <c r="M308" s="25"/>
      <c r="N308" s="25"/>
    </row>
    <row r="309" spans="1:14" ht="24" x14ac:dyDescent="0.35">
      <c r="A309" s="9" t="s">
        <v>1534</v>
      </c>
      <c r="B309" s="9" t="s">
        <v>1622</v>
      </c>
      <c r="C309" s="9" t="s">
        <v>1623</v>
      </c>
      <c r="D309" s="9" t="s">
        <v>1624</v>
      </c>
      <c r="E309" s="9" t="s">
        <v>1545</v>
      </c>
      <c r="F309" s="9" t="s">
        <v>1625</v>
      </c>
      <c r="G309" s="9" t="s">
        <v>1560</v>
      </c>
      <c r="H309" s="9" t="s">
        <v>1546</v>
      </c>
      <c r="I309" s="8"/>
      <c r="J309" s="7"/>
      <c r="K309" s="7"/>
      <c r="L309" s="7"/>
      <c r="M309" s="7"/>
      <c r="N309" s="7"/>
    </row>
    <row r="310" spans="1:14" ht="36" x14ac:dyDescent="0.35">
      <c r="A310" s="7" t="s">
        <v>1547</v>
      </c>
      <c r="B310" s="7" t="s">
        <v>1626</v>
      </c>
      <c r="C310" s="7" t="s">
        <v>1627</v>
      </c>
      <c r="D310" s="18">
        <v>60</v>
      </c>
      <c r="E310" s="7" t="s">
        <v>1628</v>
      </c>
      <c r="F310" s="7" t="s">
        <v>1629</v>
      </c>
      <c r="G310" s="7" t="s">
        <v>1630</v>
      </c>
      <c r="H310" s="7" t="s">
        <v>1570</v>
      </c>
      <c r="I310" s="4"/>
      <c r="J310" s="4"/>
      <c r="K310" s="4"/>
      <c r="L310" s="4"/>
      <c r="M310" s="4"/>
      <c r="N310" s="4"/>
    </row>
    <row r="311" spans="1:14" ht="72" x14ac:dyDescent="0.35">
      <c r="A311" s="4" t="s">
        <v>1547</v>
      </c>
      <c r="B311" s="4" t="s">
        <v>1631</v>
      </c>
      <c r="C311" s="4" t="s">
        <v>1632</v>
      </c>
      <c r="D311" s="17">
        <v>62</v>
      </c>
      <c r="E311" s="4" t="s">
        <v>1628</v>
      </c>
      <c r="F311" s="4" t="s">
        <v>1629</v>
      </c>
      <c r="G311" s="4" t="s">
        <v>1633</v>
      </c>
      <c r="H311" s="4" t="s">
        <v>1570</v>
      </c>
      <c r="I311" s="4"/>
      <c r="J311" s="4"/>
      <c r="K311" s="4"/>
      <c r="L311" s="4"/>
      <c r="M311" s="4"/>
      <c r="N311" s="4"/>
    </row>
    <row r="312" spans="1:14" ht="36" x14ac:dyDescent="0.35">
      <c r="A312" s="4" t="s">
        <v>1548</v>
      </c>
      <c r="B312" s="4" t="s">
        <v>1626</v>
      </c>
      <c r="C312" s="4" t="s">
        <v>1634</v>
      </c>
      <c r="D312" s="17">
        <v>27</v>
      </c>
      <c r="E312" s="4" t="s">
        <v>1628</v>
      </c>
      <c r="F312" s="4" t="s">
        <v>1629</v>
      </c>
      <c r="G312" s="4" t="s">
        <v>1630</v>
      </c>
      <c r="H312" s="4" t="s">
        <v>1570</v>
      </c>
      <c r="I312" s="4"/>
      <c r="J312" s="4"/>
      <c r="K312" s="4"/>
      <c r="L312" s="4"/>
      <c r="M312" s="4"/>
      <c r="N312" s="4"/>
    </row>
    <row r="313" spans="1:14" ht="60" x14ac:dyDescent="0.35">
      <c r="A313" s="4" t="s">
        <v>1548</v>
      </c>
      <c r="B313" s="4" t="s">
        <v>1631</v>
      </c>
      <c r="C313" s="4" t="s">
        <v>1635</v>
      </c>
      <c r="D313" s="17">
        <v>4</v>
      </c>
      <c r="E313" s="4" t="s">
        <v>1628</v>
      </c>
      <c r="F313" s="4" t="s">
        <v>1629</v>
      </c>
      <c r="G313" s="4" t="s">
        <v>1633</v>
      </c>
      <c r="H313" s="4" t="s">
        <v>1570</v>
      </c>
      <c r="I313" s="4"/>
      <c r="J313" s="4"/>
      <c r="K313" s="4"/>
      <c r="L313" s="4"/>
      <c r="M313" s="4"/>
      <c r="N313" s="4"/>
    </row>
    <row r="314" spans="1:14" ht="36" x14ac:dyDescent="0.35">
      <c r="A314" s="4" t="s">
        <v>1549</v>
      </c>
      <c r="B314" s="4" t="s">
        <v>1626</v>
      </c>
      <c r="C314" s="4">
        <v>241044174</v>
      </c>
      <c r="D314" s="17">
        <v>1</v>
      </c>
      <c r="E314" s="4" t="s">
        <v>1628</v>
      </c>
      <c r="F314" s="4" t="s">
        <v>1629</v>
      </c>
      <c r="G314" s="4" t="s">
        <v>1630</v>
      </c>
      <c r="H314" s="4" t="s">
        <v>1570</v>
      </c>
      <c r="I314" s="4"/>
      <c r="J314" s="4"/>
      <c r="K314" s="4"/>
      <c r="L314" s="4"/>
      <c r="M314" s="4"/>
      <c r="N314" s="4"/>
    </row>
    <row r="315" spans="1:14" ht="48" x14ac:dyDescent="0.35">
      <c r="A315" s="4" t="s">
        <v>1549</v>
      </c>
      <c r="B315" s="4" t="s">
        <v>1631</v>
      </c>
      <c r="C315" s="4" t="s">
        <v>1636</v>
      </c>
      <c r="D315" s="17">
        <v>37</v>
      </c>
      <c r="E315" s="4" t="s">
        <v>1628</v>
      </c>
      <c r="F315" s="4" t="s">
        <v>1629</v>
      </c>
      <c r="G315" s="4" t="s">
        <v>1633</v>
      </c>
      <c r="H315" s="4" t="s">
        <v>1570</v>
      </c>
      <c r="I315" s="4"/>
      <c r="J315" s="4"/>
      <c r="K315" s="4"/>
      <c r="L315" s="4"/>
      <c r="M315" s="4"/>
      <c r="N315" s="4"/>
    </row>
    <row r="316" spans="1:14" ht="48" x14ac:dyDescent="0.35">
      <c r="A316" s="4" t="s">
        <v>1550</v>
      </c>
      <c r="B316" s="4" t="s">
        <v>1631</v>
      </c>
      <c r="C316" s="4" t="s">
        <v>1637</v>
      </c>
      <c r="D316" s="17">
        <v>36</v>
      </c>
      <c r="E316" s="4" t="s">
        <v>1628</v>
      </c>
      <c r="F316" s="4" t="s">
        <v>1629</v>
      </c>
      <c r="G316" s="4" t="s">
        <v>1633</v>
      </c>
      <c r="H316" s="4" t="s">
        <v>1570</v>
      </c>
      <c r="I316" s="4"/>
      <c r="J316" s="4"/>
      <c r="K316" s="4"/>
      <c r="L316" s="4"/>
      <c r="M316" s="4"/>
      <c r="N316" s="4"/>
    </row>
    <row r="317" spans="1:14" ht="36" x14ac:dyDescent="0.35">
      <c r="A317" s="4" t="s">
        <v>1551</v>
      </c>
      <c r="B317" s="4" t="s">
        <v>1626</v>
      </c>
      <c r="C317" s="4" t="s">
        <v>1638</v>
      </c>
      <c r="D317" s="17">
        <v>35</v>
      </c>
      <c r="E317" s="4" t="s">
        <v>1628</v>
      </c>
      <c r="F317" s="4" t="s">
        <v>1629</v>
      </c>
      <c r="G317" s="4" t="s">
        <v>1630</v>
      </c>
      <c r="H317" s="4" t="s">
        <v>1570</v>
      </c>
      <c r="I317" s="4"/>
      <c r="J317" s="4"/>
      <c r="K317" s="4"/>
      <c r="L317" s="4"/>
      <c r="M317" s="4"/>
      <c r="N317" s="4"/>
    </row>
    <row r="318" spans="1:14" ht="36" x14ac:dyDescent="0.35">
      <c r="A318" s="4" t="s">
        <v>1551</v>
      </c>
      <c r="B318" s="4" t="s">
        <v>1631</v>
      </c>
      <c r="C318" s="4" t="s">
        <v>1639</v>
      </c>
      <c r="D318" s="17">
        <v>44</v>
      </c>
      <c r="E318" s="4" t="s">
        <v>1628</v>
      </c>
      <c r="F318" s="4" t="s">
        <v>1629</v>
      </c>
      <c r="G318" s="4" t="s">
        <v>1633</v>
      </c>
      <c r="H318" s="4" t="s">
        <v>1570</v>
      </c>
      <c r="I318" s="4"/>
      <c r="J318" s="4"/>
      <c r="K318" s="4"/>
      <c r="L318" s="4"/>
      <c r="M318" s="4"/>
      <c r="N318" s="4"/>
    </row>
    <row r="319" spans="1:14" ht="36" x14ac:dyDescent="0.35">
      <c r="A319" s="4" t="s">
        <v>1552</v>
      </c>
      <c r="B319" s="4" t="s">
        <v>1626</v>
      </c>
      <c r="C319" s="4" t="s">
        <v>1640</v>
      </c>
      <c r="D319" s="17">
        <v>20</v>
      </c>
      <c r="E319" s="4" t="s">
        <v>1628</v>
      </c>
      <c r="F319" s="4" t="s">
        <v>1629</v>
      </c>
      <c r="G319" s="4" t="s">
        <v>1630</v>
      </c>
      <c r="H319" s="4" t="s">
        <v>1570</v>
      </c>
      <c r="I319" s="4"/>
      <c r="J319" s="4"/>
      <c r="K319" s="4"/>
      <c r="L319" s="4"/>
      <c r="M319" s="4"/>
      <c r="N319" s="4"/>
    </row>
    <row r="320" spans="1:14" ht="60" x14ac:dyDescent="0.35">
      <c r="A320" s="4" t="s">
        <v>1552</v>
      </c>
      <c r="B320" s="4" t="s">
        <v>1631</v>
      </c>
      <c r="C320" s="4" t="s">
        <v>1641</v>
      </c>
      <c r="D320" s="17">
        <v>9</v>
      </c>
      <c r="E320" s="4" t="s">
        <v>1628</v>
      </c>
      <c r="F320" s="4" t="s">
        <v>1629</v>
      </c>
      <c r="G320" s="4" t="s">
        <v>1633</v>
      </c>
      <c r="H320" s="4" t="s">
        <v>1570</v>
      </c>
      <c r="I320" s="4"/>
      <c r="J320" s="4"/>
      <c r="K320" s="4"/>
      <c r="L320" s="4"/>
      <c r="M320" s="4"/>
      <c r="N320" s="4"/>
    </row>
    <row r="321" spans="1:14" ht="36" x14ac:dyDescent="0.35">
      <c r="A321" s="4" t="s">
        <v>1553</v>
      </c>
      <c r="B321" s="4" t="s">
        <v>1626</v>
      </c>
      <c r="C321" s="4" t="s">
        <v>1642</v>
      </c>
      <c r="D321" s="17">
        <v>13</v>
      </c>
      <c r="E321" s="4" t="s">
        <v>1628</v>
      </c>
      <c r="F321" s="4" t="s">
        <v>1629</v>
      </c>
      <c r="G321" s="4" t="s">
        <v>1630</v>
      </c>
      <c r="H321" s="4" t="s">
        <v>1570</v>
      </c>
      <c r="I321" s="4"/>
      <c r="J321" s="4"/>
      <c r="K321" s="4"/>
      <c r="L321" s="4"/>
      <c r="M321" s="4"/>
      <c r="N321" s="4"/>
    </row>
    <row r="322" spans="1:14" ht="36" x14ac:dyDescent="0.35">
      <c r="A322" s="4" t="s">
        <v>1553</v>
      </c>
      <c r="B322" s="4" t="s">
        <v>1631</v>
      </c>
      <c r="C322" s="4" t="s">
        <v>1643</v>
      </c>
      <c r="D322" s="17">
        <v>20</v>
      </c>
      <c r="E322" s="4" t="s">
        <v>1628</v>
      </c>
      <c r="F322" s="4" t="s">
        <v>1629</v>
      </c>
      <c r="G322" s="4" t="s">
        <v>1633</v>
      </c>
      <c r="H322" s="4" t="s">
        <v>1570</v>
      </c>
      <c r="I322" s="4"/>
      <c r="J322" s="4"/>
      <c r="K322" s="4"/>
      <c r="L322" s="4"/>
      <c r="M322" s="4"/>
      <c r="N322" s="4"/>
    </row>
    <row r="323" spans="1:14" x14ac:dyDescent="0.35">
      <c r="A323" s="6"/>
      <c r="B323" s="6"/>
      <c r="C323" s="6"/>
      <c r="D323" s="6"/>
      <c r="E323" s="6"/>
      <c r="F323" s="6"/>
      <c r="G323" s="6"/>
      <c r="H323" s="6"/>
      <c r="I323" s="6"/>
      <c r="J323" s="6"/>
      <c r="K323" s="6"/>
      <c r="L323" s="6"/>
      <c r="M323" s="6"/>
      <c r="N323" s="6"/>
    </row>
    <row r="324" spans="1:14" ht="16.5" thickBot="1" x14ac:dyDescent="0.4">
      <c r="A324" s="24" t="s">
        <v>1644</v>
      </c>
      <c r="B324" s="24"/>
      <c r="C324" s="24"/>
      <c r="D324" s="24"/>
      <c r="E324" s="24"/>
      <c r="F324" s="24"/>
      <c r="G324" s="24"/>
      <c r="H324" s="24"/>
      <c r="I324" s="25"/>
      <c r="J324" s="25"/>
      <c r="K324" s="25"/>
      <c r="L324" s="25"/>
      <c r="M324" s="25"/>
      <c r="N324" s="25"/>
    </row>
    <row r="325" spans="1:14" ht="24" x14ac:dyDescent="0.35">
      <c r="A325" s="9" t="s">
        <v>1534</v>
      </c>
      <c r="B325" s="9" t="s">
        <v>1622</v>
      </c>
      <c r="C325" s="9" t="s">
        <v>1624</v>
      </c>
      <c r="D325" s="9" t="s">
        <v>1623</v>
      </c>
      <c r="E325" s="9" t="s">
        <v>1545</v>
      </c>
      <c r="F325" s="9" t="s">
        <v>1625</v>
      </c>
      <c r="G325" s="9" t="s">
        <v>1560</v>
      </c>
      <c r="H325" s="9" t="s">
        <v>1546</v>
      </c>
      <c r="I325" s="8"/>
      <c r="J325" s="7"/>
      <c r="K325" s="7"/>
      <c r="L325" s="7"/>
      <c r="M325" s="7"/>
      <c r="N325" s="7"/>
    </row>
    <row r="326" spans="1:14" ht="72" x14ac:dyDescent="0.35">
      <c r="A326" s="7" t="s">
        <v>1547</v>
      </c>
      <c r="B326" s="7" t="s">
        <v>1645</v>
      </c>
      <c r="C326" s="18">
        <v>36</v>
      </c>
      <c r="D326" s="7" t="s">
        <v>1646</v>
      </c>
      <c r="E326" s="7" t="s">
        <v>1573</v>
      </c>
      <c r="F326" s="7" t="s">
        <v>1574</v>
      </c>
      <c r="G326" s="7" t="s">
        <v>1647</v>
      </c>
      <c r="H326" s="7" t="s">
        <v>1570</v>
      </c>
      <c r="I326" s="4"/>
      <c r="J326" s="4"/>
      <c r="K326" s="4"/>
      <c r="L326" s="4"/>
      <c r="M326" s="4"/>
      <c r="N326" s="4"/>
    </row>
    <row r="327" spans="1:14" ht="72" x14ac:dyDescent="0.35">
      <c r="A327" s="4" t="s">
        <v>1548</v>
      </c>
      <c r="B327" s="4" t="s">
        <v>1645</v>
      </c>
      <c r="C327" s="17">
        <v>3</v>
      </c>
      <c r="D327" s="4" t="s">
        <v>1648</v>
      </c>
      <c r="E327" s="4" t="s">
        <v>1573</v>
      </c>
      <c r="F327" s="4" t="s">
        <v>1574</v>
      </c>
      <c r="G327" s="4" t="s">
        <v>1647</v>
      </c>
      <c r="H327" s="4" t="s">
        <v>1570</v>
      </c>
      <c r="I327" s="4"/>
      <c r="J327" s="4"/>
      <c r="K327" s="4"/>
      <c r="L327" s="4"/>
      <c r="M327" s="4"/>
      <c r="N327" s="4"/>
    </row>
    <row r="328" spans="1:14" ht="60" x14ac:dyDescent="0.35">
      <c r="A328" s="4" t="s">
        <v>1549</v>
      </c>
      <c r="B328" s="4" t="s">
        <v>1649</v>
      </c>
      <c r="C328" s="17">
        <v>7</v>
      </c>
      <c r="D328" s="4" t="s">
        <v>1650</v>
      </c>
      <c r="E328" s="4" t="s">
        <v>1573</v>
      </c>
      <c r="F328" s="4" t="s">
        <v>1595</v>
      </c>
      <c r="G328" s="4" t="s">
        <v>1651</v>
      </c>
      <c r="H328" s="4" t="s">
        <v>1570</v>
      </c>
      <c r="I328" s="4"/>
      <c r="J328" s="4"/>
      <c r="K328" s="4"/>
      <c r="L328" s="4"/>
      <c r="M328" s="4"/>
      <c r="N328" s="4"/>
    </row>
    <row r="329" spans="1:14" ht="36" x14ac:dyDescent="0.35">
      <c r="A329" s="4" t="s">
        <v>1550</v>
      </c>
      <c r="B329" s="4" t="s">
        <v>1649</v>
      </c>
      <c r="C329" s="17">
        <v>9</v>
      </c>
      <c r="D329" s="4" t="s">
        <v>1652</v>
      </c>
      <c r="E329" s="4" t="s">
        <v>1573</v>
      </c>
      <c r="F329" s="4" t="s">
        <v>1595</v>
      </c>
      <c r="G329" s="4" t="s">
        <v>1651</v>
      </c>
      <c r="H329" s="4" t="s">
        <v>1570</v>
      </c>
      <c r="I329" s="4"/>
      <c r="J329" s="4"/>
      <c r="K329" s="4"/>
      <c r="L329" s="4"/>
      <c r="M329" s="4"/>
      <c r="N329" s="4"/>
    </row>
    <row r="330" spans="1:14" ht="48" x14ac:dyDescent="0.35">
      <c r="A330" s="4" t="s">
        <v>1551</v>
      </c>
      <c r="B330" s="4" t="s">
        <v>1649</v>
      </c>
      <c r="C330" s="17">
        <v>10</v>
      </c>
      <c r="D330" s="4" t="s">
        <v>1653</v>
      </c>
      <c r="E330" s="4" t="s">
        <v>1573</v>
      </c>
      <c r="F330" s="4" t="s">
        <v>1595</v>
      </c>
      <c r="G330" s="4" t="s">
        <v>1651</v>
      </c>
      <c r="H330" s="4" t="s">
        <v>1570</v>
      </c>
      <c r="I330" s="4"/>
      <c r="J330" s="4"/>
      <c r="K330" s="4"/>
      <c r="L330" s="4"/>
      <c r="M330" s="4"/>
      <c r="N330" s="4"/>
    </row>
    <row r="331" spans="1:14" ht="36" x14ac:dyDescent="0.35">
      <c r="A331" s="4" t="s">
        <v>1552</v>
      </c>
      <c r="B331" s="4" t="s">
        <v>1649</v>
      </c>
      <c r="C331" s="17">
        <v>10</v>
      </c>
      <c r="D331" s="4" t="s">
        <v>1654</v>
      </c>
      <c r="E331" s="4" t="s">
        <v>1573</v>
      </c>
      <c r="F331" s="4" t="s">
        <v>1595</v>
      </c>
      <c r="G331" s="4" t="s">
        <v>1651</v>
      </c>
      <c r="H331" s="4" t="s">
        <v>1570</v>
      </c>
      <c r="I331" s="4"/>
      <c r="J331" s="4"/>
      <c r="K331" s="4"/>
      <c r="L331" s="4"/>
      <c r="M331" s="4"/>
      <c r="N331" s="4"/>
    </row>
    <row r="332" spans="1:14" ht="36" x14ac:dyDescent="0.35">
      <c r="A332" s="4" t="s">
        <v>1553</v>
      </c>
      <c r="B332" s="4" t="s">
        <v>1649</v>
      </c>
      <c r="C332" s="17">
        <v>10</v>
      </c>
      <c r="D332" s="4" t="s">
        <v>1643</v>
      </c>
      <c r="E332" s="4" t="s">
        <v>1573</v>
      </c>
      <c r="F332" s="4" t="s">
        <v>1595</v>
      </c>
      <c r="G332" s="4" t="s">
        <v>1651</v>
      </c>
      <c r="H332" s="4" t="s">
        <v>1570</v>
      </c>
      <c r="I332" s="4"/>
      <c r="J332" s="4"/>
      <c r="K332" s="4"/>
      <c r="L332" s="4"/>
      <c r="M332" s="4"/>
      <c r="N332" s="4"/>
    </row>
    <row r="333" spans="1:14" x14ac:dyDescent="0.35">
      <c r="A333" s="4"/>
      <c r="B333" s="4"/>
      <c r="C333" s="4"/>
      <c r="D333" s="4"/>
      <c r="E333" s="4"/>
      <c r="F333" s="4"/>
      <c r="G333" s="4"/>
      <c r="H333" s="4"/>
      <c r="I333" s="4"/>
      <c r="J333" s="4"/>
      <c r="K333" s="4"/>
      <c r="L333" s="4"/>
      <c r="M333" s="4"/>
      <c r="N333" s="4"/>
    </row>
    <row r="334" spans="1:14" x14ac:dyDescent="0.35">
      <c r="A334" s="26" t="s">
        <v>1655</v>
      </c>
      <c r="B334" s="26"/>
      <c r="C334" s="26"/>
      <c r="D334" s="26"/>
      <c r="E334" s="26"/>
      <c r="F334" s="26"/>
      <c r="G334" s="26"/>
      <c r="H334" s="26"/>
      <c r="I334" s="11"/>
      <c r="J334" s="11"/>
      <c r="K334" s="11"/>
      <c r="L334" s="11"/>
      <c r="M334" s="11"/>
      <c r="N334" s="11"/>
    </row>
    <row r="335" spans="1:14" x14ac:dyDescent="0.35">
      <c r="A335" s="6"/>
      <c r="B335" s="6"/>
      <c r="C335" s="6"/>
      <c r="D335" s="6"/>
      <c r="E335" s="6"/>
      <c r="F335" s="6"/>
      <c r="G335" s="6"/>
      <c r="H335" s="6"/>
      <c r="I335" s="6"/>
      <c r="J335" s="6"/>
      <c r="K335" s="6"/>
      <c r="L335" s="6"/>
      <c r="M335" s="6"/>
      <c r="N335" s="6"/>
    </row>
    <row r="336" spans="1:14" ht="16.5" thickBot="1" x14ac:dyDescent="0.4">
      <c r="A336" s="24" t="s">
        <v>1656</v>
      </c>
      <c r="B336" s="24"/>
      <c r="C336" s="24"/>
      <c r="D336" s="24"/>
      <c r="E336" s="24"/>
      <c r="F336" s="24"/>
      <c r="G336" s="24"/>
      <c r="H336" s="24"/>
      <c r="I336" s="24"/>
      <c r="J336" s="24"/>
      <c r="K336" s="25"/>
      <c r="L336" s="25"/>
      <c r="M336" s="25"/>
      <c r="N336" s="25"/>
    </row>
    <row r="337" spans="1:14" ht="24" x14ac:dyDescent="0.35">
      <c r="A337" s="9" t="s">
        <v>1534</v>
      </c>
      <c r="B337" s="9" t="s">
        <v>1657</v>
      </c>
      <c r="C337" s="9" t="s">
        <v>1658</v>
      </c>
      <c r="D337" s="9" t="s">
        <v>1659</v>
      </c>
      <c r="E337" s="9" t="s">
        <v>1660</v>
      </c>
      <c r="F337" s="9" t="s">
        <v>1661</v>
      </c>
      <c r="G337" s="9" t="s">
        <v>1662</v>
      </c>
      <c r="H337" s="9" t="s">
        <v>1545</v>
      </c>
      <c r="I337" s="9" t="s">
        <v>1560</v>
      </c>
      <c r="J337" s="9" t="s">
        <v>1546</v>
      </c>
      <c r="K337" s="8"/>
      <c r="L337" s="7"/>
      <c r="M337" s="7"/>
      <c r="N337" s="7"/>
    </row>
    <row r="338" spans="1:14" ht="36" x14ac:dyDescent="0.35">
      <c r="A338" s="7" t="s">
        <v>1547</v>
      </c>
      <c r="B338" s="18" cm="1">
        <f t="array" ref="B338">SUMPRODUCT(--('pampers-en_us'!D8:D129&lt;&gt;""),--(LEN(TRIM('pampers-en_us'!H8:H129))=0))</f>
        <v>36</v>
      </c>
      <c r="C338" s="18" cm="1">
        <f t="array" ref="C338">SUMPRODUCT(--('pampers-en_us'!D8:D129&lt;&gt;""),--(LEN(TRIM('pampers-en_us'!E8:E129))=0))</f>
        <v>35</v>
      </c>
      <c r="D338" s="18" cm="1">
        <f t="array" ref="D338">SUMPRODUCT(--('pampers-en_us'!D8:D129&lt;&gt;""),--(LEN(TRIM('pampers-en_us'!G8:G129))=0))</f>
        <v>43</v>
      </c>
      <c r="E338" s="18" cm="1">
        <f t="array" ref="E338">SUMPRODUCT(--('pampers-en_us'!D8:D129&lt;&gt;""),--(LEN(TRIM('pampers-en_us'!F8:F129))=0))</f>
        <v>38</v>
      </c>
      <c r="F338" s="18" cm="1">
        <f t="array" ref="F338">SUMPRODUCT(--('pampers-en_us'!D8:D129&lt;&gt;""),--(LEN(TRIM('pampers-en_us'!B8:B129))=0))</f>
        <v>36</v>
      </c>
      <c r="G338" s="18">
        <f t="shared" ref="G338:G344" si="5">SUM(B338:F338)</f>
        <v>188</v>
      </c>
      <c r="H338" s="7" t="str">
        <f t="shared" ref="H338:H344" si="6">IF(G338&gt;0,"Missing fields weaken PDP quality.","No crucial-field gaps found.")</f>
        <v>Missing fields weaken PDP quality.</v>
      </c>
      <c r="I338" s="7" t="str">
        <f t="shared" ref="I338:I344" si="7">IF(G338&gt;0,"Backfill from approved product masters.","No remediation required.")</f>
        <v>Backfill from approved product masters.</v>
      </c>
      <c r="J338" s="7" t="str">
        <f t="shared" ref="J338:J345" si="8">IF(G338&gt;0,"MEDIUM","LOW")</f>
        <v>MEDIUM</v>
      </c>
      <c r="K338" s="4"/>
      <c r="L338" s="4"/>
      <c r="M338" s="4"/>
      <c r="N338" s="4"/>
    </row>
    <row r="339" spans="1:14" ht="36" x14ac:dyDescent="0.35">
      <c r="A339" s="4" t="s">
        <v>1548</v>
      </c>
      <c r="B339" s="17" cm="1">
        <f t="array" ref="B339">SUMPRODUCT(--('pampers-es'!D8:D38&lt;&gt;""),--(LEN(TRIM('pampers-es'!H8:H38))=0))</f>
        <v>2</v>
      </c>
      <c r="C339" s="17" cm="1">
        <f t="array" ref="C339">SUMPRODUCT(--('pampers-es'!D8:D38&lt;&gt;""),--(LEN(TRIM('pampers-es'!E8:E38))=0))</f>
        <v>2</v>
      </c>
      <c r="D339" s="17" cm="1">
        <f t="array" ref="D339">SUMPRODUCT(--('pampers-es'!D8:D38&lt;&gt;""),--(LEN(TRIM('pampers-es'!G8:G38))=0))</f>
        <v>2</v>
      </c>
      <c r="E339" s="17" cm="1">
        <f t="array" ref="E339">SUMPRODUCT(--('pampers-es'!D8:D38&lt;&gt;""),--(LEN(TRIM('pampers-es'!F8:F38))=0))</f>
        <v>3</v>
      </c>
      <c r="F339" s="17" cm="1">
        <f t="array" ref="F339">SUMPRODUCT(--('pampers-es'!D8:D38&lt;&gt;""),--(LEN(TRIM('pampers-es'!B8:B38))=0))</f>
        <v>2</v>
      </c>
      <c r="G339" s="17">
        <f t="shared" si="5"/>
        <v>11</v>
      </c>
      <c r="H339" s="4" t="str">
        <f t="shared" si="6"/>
        <v>Missing fields weaken PDP quality.</v>
      </c>
      <c r="I339" s="4" t="str">
        <f t="shared" si="7"/>
        <v>Backfill from approved product masters.</v>
      </c>
      <c r="J339" s="4" t="str">
        <f t="shared" si="8"/>
        <v>MEDIUM</v>
      </c>
      <c r="K339" s="4"/>
      <c r="L339" s="4"/>
      <c r="M339" s="4"/>
      <c r="N339" s="4"/>
    </row>
    <row r="340" spans="1:14" ht="36" x14ac:dyDescent="0.35">
      <c r="A340" s="4" t="s">
        <v>1549</v>
      </c>
      <c r="B340" s="17" cm="1">
        <f t="array" ref="B340">SUMPRODUCT(--('pampers-en_gb'!D8:D45&lt;&gt;""),--(LEN(TRIM('pampers-en_gb'!H8:H45))=0))</f>
        <v>7</v>
      </c>
      <c r="C340" s="17" cm="1">
        <f t="array" ref="C340">SUMPRODUCT(--('pampers-en_gb'!D8:D45&lt;&gt;""),--(LEN(TRIM('pampers-en_gb'!E8:E45))=0))</f>
        <v>5</v>
      </c>
      <c r="D340" s="17" cm="1">
        <f t="array" ref="D340">SUMPRODUCT(--('pampers-en_gb'!D8:D45&lt;&gt;""),--(LEN(TRIM('pampers-en_gb'!G8:G45))=0))</f>
        <v>7</v>
      </c>
      <c r="E340" s="17" cm="1">
        <f t="array" ref="E340">SUMPRODUCT(--('pampers-en_gb'!D8:D45&lt;&gt;""),--(LEN(TRIM('pampers-en_gb'!F8:F45))=0))</f>
        <v>5</v>
      </c>
      <c r="F340" s="17" cm="1">
        <f t="array" ref="F340">SUMPRODUCT(--('pampers-en_gb'!D8:D45&lt;&gt;""),--(LEN(TRIM('pampers-en_gb'!B8:B45))=0))</f>
        <v>5</v>
      </c>
      <c r="G340" s="17">
        <f t="shared" si="5"/>
        <v>29</v>
      </c>
      <c r="H340" s="4" t="str">
        <f t="shared" si="6"/>
        <v>Missing fields weaken PDP quality.</v>
      </c>
      <c r="I340" s="4" t="str">
        <f t="shared" si="7"/>
        <v>Backfill from approved product masters.</v>
      </c>
      <c r="J340" s="4" t="str">
        <f t="shared" si="8"/>
        <v>MEDIUM</v>
      </c>
      <c r="K340" s="4"/>
      <c r="L340" s="4"/>
      <c r="M340" s="4"/>
      <c r="N340" s="4"/>
    </row>
    <row r="341" spans="1:14" ht="36" x14ac:dyDescent="0.35">
      <c r="A341" s="4" t="s">
        <v>1550</v>
      </c>
      <c r="B341" s="17" cm="1">
        <f t="array" ref="B341">SUMPRODUCT(--('pampers-de_de'!D8:D43&lt;&gt;""),--(LEN(TRIM('pampers-de_de'!H8:H43))=0))</f>
        <v>11</v>
      </c>
      <c r="C341" s="17" cm="1">
        <f t="array" ref="C341">SUMPRODUCT(--('pampers-de_de'!D8:D43&lt;&gt;""),--(LEN(TRIM('pampers-de_de'!E8:E43))=0))</f>
        <v>6</v>
      </c>
      <c r="D341" s="17" cm="1">
        <f t="array" ref="D341">SUMPRODUCT(--('pampers-de_de'!D8:D43&lt;&gt;""),--(LEN(TRIM('pampers-de_de'!G8:G43))=0))</f>
        <v>8</v>
      </c>
      <c r="E341" s="17" cm="1">
        <f t="array" ref="E341">SUMPRODUCT(--('pampers-de_de'!D8:D43&lt;&gt;""),--(LEN(TRIM('pampers-de_de'!F8:F43))=0))</f>
        <v>6</v>
      </c>
      <c r="F341" s="17" cm="1">
        <f t="array" ref="F341">SUMPRODUCT(--('pampers-de_de'!D8:D43&lt;&gt;""),--(LEN(TRIM('pampers-de_de'!B8:B43))=0))</f>
        <v>6</v>
      </c>
      <c r="G341" s="17">
        <f t="shared" si="5"/>
        <v>37</v>
      </c>
      <c r="H341" s="4" t="str">
        <f t="shared" si="6"/>
        <v>Missing fields weaken PDP quality.</v>
      </c>
      <c r="I341" s="4" t="str">
        <f t="shared" si="7"/>
        <v>Backfill from approved product masters.</v>
      </c>
      <c r="J341" s="4" t="str">
        <f t="shared" si="8"/>
        <v>MEDIUM</v>
      </c>
      <c r="K341" s="4"/>
      <c r="L341" s="4"/>
      <c r="M341" s="4"/>
      <c r="N341" s="4"/>
    </row>
    <row r="342" spans="1:14" ht="36" x14ac:dyDescent="0.35">
      <c r="A342" s="4" t="s">
        <v>1551</v>
      </c>
      <c r="B342" s="17" cm="1">
        <f t="array" ref="B342">SUMPRODUCT(--('pampers-fr_fr'!D8:D86&lt;&gt;""),--(LEN(TRIM('pampers-fr_fr'!H8:H86))=0))</f>
        <v>10</v>
      </c>
      <c r="C342" s="17" cm="1">
        <f t="array" ref="C342">SUMPRODUCT(--('pampers-fr_fr'!D8:D86&lt;&gt;""),--(LEN(TRIM('pampers-fr_fr'!E8:E86))=0))</f>
        <v>4</v>
      </c>
      <c r="D342" s="17" cm="1">
        <f t="array" ref="D342">SUMPRODUCT(--('pampers-fr_fr'!D8:D86&lt;&gt;""),--(LEN(TRIM('pampers-fr_fr'!G8:G86))=0))</f>
        <v>6</v>
      </c>
      <c r="E342" s="17" cm="1">
        <f t="array" ref="E342">SUMPRODUCT(--('pampers-fr_fr'!D8:D86&lt;&gt;""),--(LEN(TRIM('pampers-fr_fr'!F8:F86))=0))</f>
        <v>4</v>
      </c>
      <c r="F342" s="17" cm="1">
        <f t="array" ref="F342">SUMPRODUCT(--('pampers-fr_fr'!D8:D86&lt;&gt;""),--(LEN(TRIM('pampers-fr_fr'!B8:B86))=0))</f>
        <v>4</v>
      </c>
      <c r="G342" s="17">
        <f t="shared" si="5"/>
        <v>28</v>
      </c>
      <c r="H342" s="4" t="str">
        <f t="shared" si="6"/>
        <v>Missing fields weaken PDP quality.</v>
      </c>
      <c r="I342" s="4" t="str">
        <f t="shared" si="7"/>
        <v>Backfill from approved product masters.</v>
      </c>
      <c r="J342" s="4" t="str">
        <f t="shared" si="8"/>
        <v>MEDIUM</v>
      </c>
      <c r="K342" s="4"/>
      <c r="L342" s="4"/>
      <c r="M342" s="4"/>
      <c r="N342" s="4"/>
    </row>
    <row r="343" spans="1:14" ht="36" x14ac:dyDescent="0.35">
      <c r="A343" s="4" t="s">
        <v>1552</v>
      </c>
      <c r="B343" s="17" cm="1">
        <f t="array" ref="B343">SUMPRODUCT(--(pgdodotspain!D8:D36&lt;&gt;""),--(LEN(TRIM(pgdodotspain!H8:H36))=0))</f>
        <v>9</v>
      </c>
      <c r="C343" s="17" cm="1">
        <f t="array" ref="C343">SUMPRODUCT(--(pgdodotspain!D8:D36&lt;&gt;""),--(LEN(TRIM(pgdodotspain!E8:E36))=0))</f>
        <v>9</v>
      </c>
      <c r="D343" s="17" cm="1">
        <f t="array" ref="D343">SUMPRODUCT(--(pgdodotspain!D8:D36&lt;&gt;""),--(LEN(TRIM(pgdodotspain!G8:G36))=0))</f>
        <v>9</v>
      </c>
      <c r="E343" s="17" cm="1">
        <f t="array" ref="E343">SUMPRODUCT(--(pgdodotspain!D8:D36&lt;&gt;""),--(LEN(TRIM(pgdodotspain!F8:F36))=0))</f>
        <v>9</v>
      </c>
      <c r="F343" s="17" cm="1">
        <f t="array" ref="F343">SUMPRODUCT(--(pgdodotspain!D8:D36&lt;&gt;""),--(LEN(TRIM(pgdodotspain!B8:B36))=0))</f>
        <v>10</v>
      </c>
      <c r="G343" s="17">
        <f t="shared" si="5"/>
        <v>46</v>
      </c>
      <c r="H343" s="4" t="str">
        <f t="shared" si="6"/>
        <v>Missing fields weaken PDP quality.</v>
      </c>
      <c r="I343" s="4" t="str">
        <f t="shared" si="7"/>
        <v>Backfill from approved product masters.</v>
      </c>
      <c r="J343" s="4" t="str">
        <f t="shared" si="8"/>
        <v>MEDIUM</v>
      </c>
      <c r="K343" s="4"/>
      <c r="L343" s="4"/>
      <c r="M343" s="4"/>
      <c r="N343" s="4"/>
    </row>
    <row r="344" spans="1:14" ht="36" x14ac:dyDescent="0.35">
      <c r="A344" s="4" t="s">
        <v>1553</v>
      </c>
      <c r="B344" s="17" cm="1">
        <f t="array" ref="B344">SUMPRODUCT(--('pampers-ja_jp'!D8:D40&lt;&gt;""),--(LEN(TRIM('pampers-ja_jp'!H8:H40))=0))</f>
        <v>3</v>
      </c>
      <c r="C344" s="17" cm="1">
        <f t="array" ref="C344">SUMPRODUCT(--('pampers-ja_jp'!D8:D40&lt;&gt;""),--(LEN(TRIM('pampers-ja_jp'!E8:E40))=0))</f>
        <v>2</v>
      </c>
      <c r="D344" s="17" cm="1">
        <f t="array" ref="D344">SUMPRODUCT(--('pampers-ja_jp'!D8:D40&lt;&gt;""),--(LEN(TRIM('pampers-ja_jp'!G8:G40))=0))</f>
        <v>3</v>
      </c>
      <c r="E344" s="17" cm="1">
        <f t="array" ref="E344">SUMPRODUCT(--('pampers-ja_jp'!D8:D40&lt;&gt;""),--(LEN(TRIM('pampers-ja_jp'!F8:F40))=0))</f>
        <v>2</v>
      </c>
      <c r="F344" s="17" cm="1">
        <f t="array" ref="F344">SUMPRODUCT(--('pampers-ja_jp'!D8:D40&lt;&gt;""),--(LEN(TRIM('pampers-ja_jp'!B8:B40))=0))</f>
        <v>2</v>
      </c>
      <c r="G344" s="17">
        <f t="shared" si="5"/>
        <v>12</v>
      </c>
      <c r="H344" s="4" t="str">
        <f t="shared" si="6"/>
        <v>Missing fields weaken PDP quality.</v>
      </c>
      <c r="I344" s="4" t="str">
        <f t="shared" si="7"/>
        <v>Backfill from approved product masters.</v>
      </c>
      <c r="J344" s="4" t="str">
        <f t="shared" si="8"/>
        <v>MEDIUM</v>
      </c>
      <c r="K344" s="4"/>
      <c r="L344" s="4"/>
      <c r="M344" s="4"/>
      <c r="N344" s="4"/>
    </row>
    <row r="345" spans="1:14" ht="24" x14ac:dyDescent="0.35">
      <c r="A345" s="19" t="s">
        <v>1554</v>
      </c>
      <c r="B345" s="20">
        <f t="shared" ref="B345:G345" si="9">SUM(B338:B344)</f>
        <v>78</v>
      </c>
      <c r="C345" s="20">
        <f t="shared" si="9"/>
        <v>63</v>
      </c>
      <c r="D345" s="20">
        <f t="shared" si="9"/>
        <v>78</v>
      </c>
      <c r="E345" s="20">
        <f t="shared" si="9"/>
        <v>67</v>
      </c>
      <c r="F345" s="20">
        <f t="shared" si="9"/>
        <v>65</v>
      </c>
      <c r="G345" s="20">
        <f t="shared" si="9"/>
        <v>351</v>
      </c>
      <c r="H345" s="19" t="str">
        <f>"Missing field cells: "&amp;TEXT(G345,"#,##0")</f>
        <v>Missing field cells: 351</v>
      </c>
      <c r="I345" s="19" t="str">
        <f>"Complete all required fields."</f>
        <v>Complete all required fields.</v>
      </c>
      <c r="J345" s="19" t="str">
        <f t="shared" si="8"/>
        <v>MEDIUM</v>
      </c>
      <c r="K345" s="4"/>
      <c r="L345" s="4"/>
      <c r="M345" s="4"/>
      <c r="N345" s="4"/>
    </row>
    <row r="346" spans="1:14" x14ac:dyDescent="0.35">
      <c r="A346" s="6"/>
      <c r="B346" s="6"/>
      <c r="C346" s="6"/>
      <c r="D346" s="6"/>
      <c r="E346" s="6"/>
      <c r="F346" s="6"/>
      <c r="G346" s="6"/>
      <c r="H346" s="6"/>
      <c r="I346" s="6"/>
      <c r="J346" s="6"/>
      <c r="K346" s="6"/>
      <c r="L346" s="6"/>
      <c r="M346" s="6"/>
      <c r="N346" s="6"/>
    </row>
    <row r="347" spans="1:14" ht="16.5" thickBot="1" x14ac:dyDescent="0.4">
      <c r="A347" s="24" t="s">
        <v>1663</v>
      </c>
      <c r="B347" s="24"/>
      <c r="C347" s="24"/>
      <c r="D347" s="24"/>
      <c r="E347" s="24"/>
      <c r="F347" s="24"/>
      <c r="G347" s="24"/>
      <c r="H347" s="24"/>
      <c r="I347" s="25"/>
      <c r="J347" s="25"/>
      <c r="K347" s="25"/>
      <c r="L347" s="25"/>
      <c r="M347" s="25"/>
      <c r="N347" s="25"/>
    </row>
    <row r="348" spans="1:14" ht="36" x14ac:dyDescent="0.35">
      <c r="A348" s="9" t="s">
        <v>1534</v>
      </c>
      <c r="B348" s="9" t="s">
        <v>1664</v>
      </c>
      <c r="C348" s="9" t="s">
        <v>1665</v>
      </c>
      <c r="D348" s="9" t="s">
        <v>1666</v>
      </c>
      <c r="E348" s="9" t="s">
        <v>1545</v>
      </c>
      <c r="F348" s="9" t="s">
        <v>1625</v>
      </c>
      <c r="G348" s="9" t="s">
        <v>1560</v>
      </c>
      <c r="H348" s="9" t="s">
        <v>1546</v>
      </c>
      <c r="I348" s="8"/>
      <c r="J348" s="7"/>
      <c r="K348" s="7"/>
      <c r="L348" s="7"/>
      <c r="M348" s="7"/>
      <c r="N348" s="7"/>
    </row>
    <row r="349" spans="1:14" ht="60" x14ac:dyDescent="0.35">
      <c r="A349" s="7" t="s">
        <v>1547</v>
      </c>
      <c r="B349" s="7" t="s">
        <v>1667</v>
      </c>
      <c r="C349" s="18">
        <v>3</v>
      </c>
      <c r="D349" s="7" t="s">
        <v>1668</v>
      </c>
      <c r="E349" s="7" t="s">
        <v>1585</v>
      </c>
      <c r="F349" s="7" t="s">
        <v>1669</v>
      </c>
      <c r="G349" s="7" t="s">
        <v>1670</v>
      </c>
      <c r="H349" s="7" t="s">
        <v>1582</v>
      </c>
      <c r="I349" s="4"/>
      <c r="J349" s="4"/>
      <c r="K349" s="4"/>
      <c r="L349" s="4"/>
      <c r="M349" s="4"/>
      <c r="N349" s="4"/>
    </row>
    <row r="350" spans="1:14" ht="48" x14ac:dyDescent="0.35">
      <c r="A350" s="4" t="s">
        <v>1548</v>
      </c>
      <c r="B350" s="4" t="s">
        <v>1671</v>
      </c>
      <c r="C350" s="17">
        <v>1</v>
      </c>
      <c r="D350" s="4" t="s">
        <v>1672</v>
      </c>
      <c r="E350" s="4" t="s">
        <v>1673</v>
      </c>
      <c r="F350" s="4" t="s">
        <v>1674</v>
      </c>
      <c r="G350" s="4" t="s">
        <v>1675</v>
      </c>
      <c r="H350" s="4" t="s">
        <v>1676</v>
      </c>
      <c r="I350" s="4"/>
      <c r="J350" s="4"/>
      <c r="K350" s="4"/>
      <c r="L350" s="4"/>
      <c r="M350" s="4"/>
      <c r="N350" s="4"/>
    </row>
    <row r="351" spans="1:14" ht="48" x14ac:dyDescent="0.35">
      <c r="A351" s="4" t="s">
        <v>1549</v>
      </c>
      <c r="B351" s="4" t="s">
        <v>1677</v>
      </c>
      <c r="C351" s="17">
        <v>2</v>
      </c>
      <c r="D351" s="4" t="s">
        <v>1668</v>
      </c>
      <c r="E351" s="4" t="s">
        <v>1585</v>
      </c>
      <c r="F351" s="4" t="s">
        <v>1669</v>
      </c>
      <c r="G351" s="4" t="s">
        <v>1670</v>
      </c>
      <c r="H351" s="4" t="s">
        <v>1582</v>
      </c>
      <c r="I351" s="4"/>
      <c r="J351" s="4"/>
      <c r="K351" s="4"/>
      <c r="L351" s="4"/>
      <c r="M351" s="4"/>
      <c r="N351" s="4"/>
    </row>
    <row r="352" spans="1:14" ht="48" x14ac:dyDescent="0.35">
      <c r="A352" s="4" t="s">
        <v>1550</v>
      </c>
      <c r="B352" s="4" t="s">
        <v>1678</v>
      </c>
      <c r="C352" s="17">
        <v>2</v>
      </c>
      <c r="D352" s="4" t="s">
        <v>1668</v>
      </c>
      <c r="E352" s="4" t="s">
        <v>1585</v>
      </c>
      <c r="F352" s="4" t="s">
        <v>1669</v>
      </c>
      <c r="G352" s="4" t="s">
        <v>1670</v>
      </c>
      <c r="H352" s="4" t="s">
        <v>1582</v>
      </c>
      <c r="I352" s="4"/>
      <c r="J352" s="4"/>
      <c r="K352" s="4"/>
      <c r="L352" s="4"/>
      <c r="M352" s="4"/>
      <c r="N352" s="4"/>
    </row>
    <row r="353" spans="1:14" ht="48" x14ac:dyDescent="0.35">
      <c r="A353" s="4" t="s">
        <v>1551</v>
      </c>
      <c r="B353" s="4" t="s">
        <v>1679</v>
      </c>
      <c r="C353" s="17">
        <v>3</v>
      </c>
      <c r="D353" s="4" t="s">
        <v>1668</v>
      </c>
      <c r="E353" s="4" t="s">
        <v>1585</v>
      </c>
      <c r="F353" s="4" t="s">
        <v>1669</v>
      </c>
      <c r="G353" s="4" t="s">
        <v>1670</v>
      </c>
      <c r="H353" s="4" t="s">
        <v>1582</v>
      </c>
      <c r="I353" s="4"/>
      <c r="J353" s="4"/>
      <c r="K353" s="4"/>
      <c r="L353" s="4"/>
      <c r="M353" s="4"/>
      <c r="N353" s="4"/>
    </row>
    <row r="354" spans="1:14" ht="48" x14ac:dyDescent="0.35">
      <c r="A354" s="4" t="s">
        <v>1552</v>
      </c>
      <c r="B354" s="4" t="s">
        <v>1680</v>
      </c>
      <c r="C354" s="17">
        <v>2</v>
      </c>
      <c r="D354" s="4" t="s">
        <v>1668</v>
      </c>
      <c r="E354" s="4" t="s">
        <v>1585</v>
      </c>
      <c r="F354" s="4" t="s">
        <v>1669</v>
      </c>
      <c r="G354" s="4" t="s">
        <v>1670</v>
      </c>
      <c r="H354" s="4" t="s">
        <v>1582</v>
      </c>
      <c r="I354" s="4"/>
      <c r="J354" s="4"/>
      <c r="K354" s="4"/>
      <c r="L354" s="4"/>
      <c r="M354" s="4"/>
      <c r="N354" s="4"/>
    </row>
    <row r="355" spans="1:14" ht="48" x14ac:dyDescent="0.35">
      <c r="A355" s="4" t="s">
        <v>1553</v>
      </c>
      <c r="B355" s="4" t="s">
        <v>1681</v>
      </c>
      <c r="C355" s="17">
        <v>2</v>
      </c>
      <c r="D355" s="4" t="s">
        <v>1668</v>
      </c>
      <c r="E355" s="4" t="s">
        <v>1585</v>
      </c>
      <c r="F355" s="4" t="s">
        <v>1669</v>
      </c>
      <c r="G355" s="4" t="s">
        <v>1670</v>
      </c>
      <c r="H355" s="4" t="s">
        <v>1582</v>
      </c>
      <c r="I355" s="4"/>
      <c r="J355" s="4"/>
      <c r="K355" s="4"/>
      <c r="L355" s="4"/>
      <c r="M355" s="4"/>
      <c r="N355" s="4"/>
    </row>
    <row r="356" spans="1:14" x14ac:dyDescent="0.35">
      <c r="A356" s="6"/>
      <c r="B356" s="6"/>
      <c r="C356" s="6"/>
      <c r="D356" s="6"/>
      <c r="E356" s="6"/>
      <c r="F356" s="6"/>
      <c r="G356" s="6"/>
      <c r="H356" s="6"/>
      <c r="I356" s="6"/>
      <c r="J356" s="6"/>
      <c r="K356" s="6"/>
      <c r="L356" s="6"/>
      <c r="M356" s="6"/>
      <c r="N356" s="6"/>
    </row>
    <row r="357" spans="1:14" ht="16.5" thickBot="1" x14ac:dyDescent="0.4">
      <c r="A357" s="24" t="s">
        <v>1682</v>
      </c>
      <c r="B357" s="24"/>
      <c r="C357" s="24"/>
      <c r="D357" s="24"/>
      <c r="E357" s="24"/>
      <c r="F357" s="24"/>
      <c r="G357" s="24"/>
      <c r="H357" s="25"/>
      <c r="I357" s="25"/>
      <c r="J357" s="25"/>
      <c r="K357" s="25"/>
      <c r="L357" s="25"/>
      <c r="M357" s="25"/>
      <c r="N357" s="25"/>
    </row>
    <row r="358" spans="1:14" ht="24" x14ac:dyDescent="0.35">
      <c r="A358" s="9" t="s">
        <v>1534</v>
      </c>
      <c r="B358" s="9" t="s">
        <v>1683</v>
      </c>
      <c r="C358" s="9" t="s">
        <v>1666</v>
      </c>
      <c r="D358" s="9" t="s">
        <v>1684</v>
      </c>
      <c r="E358" s="9" t="s">
        <v>1685</v>
      </c>
      <c r="F358" s="9" t="s">
        <v>1560</v>
      </c>
      <c r="G358" s="9" t="s">
        <v>1686</v>
      </c>
      <c r="H358" s="8"/>
      <c r="I358" s="7"/>
      <c r="J358" s="7"/>
      <c r="K358" s="7"/>
      <c r="L358" s="7"/>
      <c r="M358" s="7"/>
      <c r="N358" s="7"/>
    </row>
    <row r="359" spans="1:14" ht="36" x14ac:dyDescent="0.35">
      <c r="A359" s="7" t="s">
        <v>1547</v>
      </c>
      <c r="B359" s="7">
        <v>1</v>
      </c>
      <c r="C359" s="7" t="s">
        <v>1687</v>
      </c>
      <c r="D359" s="7" t="s">
        <v>1490</v>
      </c>
      <c r="E359" s="7" t="s">
        <v>1688</v>
      </c>
      <c r="F359" s="7" t="s">
        <v>1488</v>
      </c>
      <c r="G359" s="7" t="s">
        <v>1689</v>
      </c>
      <c r="H359" s="4"/>
      <c r="I359" s="4"/>
      <c r="J359" s="4"/>
      <c r="K359" s="4"/>
      <c r="L359" s="4"/>
      <c r="M359" s="4"/>
      <c r="N359" s="4"/>
    </row>
    <row r="360" spans="1:14" ht="48" x14ac:dyDescent="0.35">
      <c r="A360" s="4" t="s">
        <v>1547</v>
      </c>
      <c r="B360" s="4">
        <v>2</v>
      </c>
      <c r="C360" s="4" t="s">
        <v>1690</v>
      </c>
      <c r="D360" s="4" t="s">
        <v>1570</v>
      </c>
      <c r="E360" s="4" t="s">
        <v>1691</v>
      </c>
      <c r="F360" s="4" t="s">
        <v>1692</v>
      </c>
      <c r="G360" s="4" t="s">
        <v>1693</v>
      </c>
      <c r="H360" s="4"/>
      <c r="I360" s="4"/>
      <c r="J360" s="4"/>
      <c r="K360" s="4"/>
      <c r="L360" s="4"/>
      <c r="M360" s="4"/>
      <c r="N360" s="4"/>
    </row>
    <row r="361" spans="1:14" ht="36" x14ac:dyDescent="0.35">
      <c r="A361" s="4" t="s">
        <v>1547</v>
      </c>
      <c r="B361" s="4">
        <v>3</v>
      </c>
      <c r="C361" s="4" t="s">
        <v>1694</v>
      </c>
      <c r="D361" s="4" t="s">
        <v>1570</v>
      </c>
      <c r="E361" s="4" t="s">
        <v>1574</v>
      </c>
      <c r="F361" s="4" t="s">
        <v>1647</v>
      </c>
      <c r="G361" s="4" t="s">
        <v>1695</v>
      </c>
      <c r="H361" s="4"/>
      <c r="I361" s="4"/>
      <c r="J361" s="4"/>
      <c r="K361" s="4"/>
      <c r="L361" s="4"/>
      <c r="M361" s="4"/>
      <c r="N361" s="4"/>
    </row>
    <row r="362" spans="1:14" ht="24" x14ac:dyDescent="0.35">
      <c r="A362" s="4" t="s">
        <v>1547</v>
      </c>
      <c r="B362" s="4">
        <v>4</v>
      </c>
      <c r="C362" s="4" t="s">
        <v>1696</v>
      </c>
      <c r="D362" s="4" t="s">
        <v>1582</v>
      </c>
      <c r="E362" s="4" t="s">
        <v>1697</v>
      </c>
      <c r="F362" s="4" t="s">
        <v>1698</v>
      </c>
      <c r="G362" s="4" t="s">
        <v>1699</v>
      </c>
      <c r="H362" s="4"/>
      <c r="I362" s="4"/>
      <c r="J362" s="4"/>
      <c r="K362" s="4"/>
      <c r="L362" s="4"/>
      <c r="M362" s="4"/>
      <c r="N362" s="4"/>
    </row>
    <row r="363" spans="1:14" ht="36" x14ac:dyDescent="0.35">
      <c r="A363" s="4" t="s">
        <v>1547</v>
      </c>
      <c r="B363" s="4">
        <v>5</v>
      </c>
      <c r="C363" s="4" t="s">
        <v>1700</v>
      </c>
      <c r="D363" s="4" t="s">
        <v>1582</v>
      </c>
      <c r="E363" s="4" t="s">
        <v>1669</v>
      </c>
      <c r="F363" s="4" t="s">
        <v>1670</v>
      </c>
      <c r="G363" s="4" t="s">
        <v>1701</v>
      </c>
      <c r="H363" s="4"/>
      <c r="I363" s="4"/>
      <c r="J363" s="4"/>
      <c r="K363" s="4"/>
      <c r="L363" s="4"/>
      <c r="M363" s="4"/>
      <c r="N363" s="4"/>
    </row>
    <row r="364" spans="1:14" ht="36" x14ac:dyDescent="0.35">
      <c r="A364" s="4" t="s">
        <v>1548</v>
      </c>
      <c r="B364" s="4">
        <v>1</v>
      </c>
      <c r="C364" s="4" t="s">
        <v>1687</v>
      </c>
      <c r="D364" s="4" t="s">
        <v>1490</v>
      </c>
      <c r="E364" s="4" t="s">
        <v>1688</v>
      </c>
      <c r="F364" s="4" t="s">
        <v>1488</v>
      </c>
      <c r="G364" s="4" t="s">
        <v>1689</v>
      </c>
      <c r="H364" s="4"/>
      <c r="I364" s="4"/>
      <c r="J364" s="4"/>
      <c r="K364" s="4"/>
      <c r="L364" s="4"/>
      <c r="M364" s="4"/>
      <c r="N364" s="4"/>
    </row>
    <row r="365" spans="1:14" ht="48" x14ac:dyDescent="0.35">
      <c r="A365" s="4" t="s">
        <v>1548</v>
      </c>
      <c r="B365" s="4">
        <v>2</v>
      </c>
      <c r="C365" s="4" t="s">
        <v>1690</v>
      </c>
      <c r="D365" s="4" t="s">
        <v>1570</v>
      </c>
      <c r="E365" s="4" t="s">
        <v>1691</v>
      </c>
      <c r="F365" s="4" t="s">
        <v>1692</v>
      </c>
      <c r="G365" s="4" t="s">
        <v>1693</v>
      </c>
      <c r="H365" s="4"/>
      <c r="I365" s="4"/>
      <c r="J365" s="4"/>
      <c r="K365" s="4"/>
      <c r="L365" s="4"/>
      <c r="M365" s="4"/>
      <c r="N365" s="4"/>
    </row>
    <row r="366" spans="1:14" ht="36" x14ac:dyDescent="0.35">
      <c r="A366" s="4" t="s">
        <v>1548</v>
      </c>
      <c r="B366" s="4">
        <v>3</v>
      </c>
      <c r="C366" s="4" t="s">
        <v>1694</v>
      </c>
      <c r="D366" s="4" t="s">
        <v>1570</v>
      </c>
      <c r="E366" s="4" t="s">
        <v>1574</v>
      </c>
      <c r="F366" s="4" t="s">
        <v>1647</v>
      </c>
      <c r="G366" s="4" t="s">
        <v>1695</v>
      </c>
      <c r="H366" s="4"/>
      <c r="I366" s="4"/>
      <c r="J366" s="4"/>
      <c r="K366" s="4"/>
      <c r="L366" s="4"/>
      <c r="M366" s="4"/>
      <c r="N366" s="4"/>
    </row>
    <row r="367" spans="1:14" ht="24" x14ac:dyDescent="0.35">
      <c r="A367" s="4" t="s">
        <v>1548</v>
      </c>
      <c r="B367" s="4">
        <v>4</v>
      </c>
      <c r="C367" s="4" t="s">
        <v>1696</v>
      </c>
      <c r="D367" s="4" t="s">
        <v>1582</v>
      </c>
      <c r="E367" s="4" t="s">
        <v>1697</v>
      </c>
      <c r="F367" s="4" t="s">
        <v>1698</v>
      </c>
      <c r="G367" s="4" t="s">
        <v>1699</v>
      </c>
      <c r="H367" s="4"/>
      <c r="I367" s="4"/>
      <c r="J367" s="4"/>
      <c r="K367" s="4"/>
      <c r="L367" s="4"/>
      <c r="M367" s="4"/>
      <c r="N367" s="4"/>
    </row>
    <row r="368" spans="1:14" ht="36" x14ac:dyDescent="0.35">
      <c r="A368" s="4" t="s">
        <v>1549</v>
      </c>
      <c r="B368" s="4">
        <v>1</v>
      </c>
      <c r="C368" s="4" t="s">
        <v>1687</v>
      </c>
      <c r="D368" s="4" t="s">
        <v>1490</v>
      </c>
      <c r="E368" s="4" t="s">
        <v>1688</v>
      </c>
      <c r="F368" s="4" t="s">
        <v>1488</v>
      </c>
      <c r="G368" s="4" t="s">
        <v>1689</v>
      </c>
      <c r="H368" s="4"/>
      <c r="I368" s="4"/>
      <c r="J368" s="4"/>
      <c r="K368" s="4"/>
      <c r="L368" s="4"/>
      <c r="M368" s="4"/>
      <c r="N368" s="4"/>
    </row>
    <row r="369" spans="1:14" ht="48" x14ac:dyDescent="0.35">
      <c r="A369" s="4" t="s">
        <v>1549</v>
      </c>
      <c r="B369" s="4">
        <v>2</v>
      </c>
      <c r="C369" s="4" t="s">
        <v>1690</v>
      </c>
      <c r="D369" s="4" t="s">
        <v>1570</v>
      </c>
      <c r="E369" s="4" t="s">
        <v>1691</v>
      </c>
      <c r="F369" s="4" t="s">
        <v>1692</v>
      </c>
      <c r="G369" s="4" t="s">
        <v>1693</v>
      </c>
      <c r="H369" s="4"/>
      <c r="I369" s="4"/>
      <c r="J369" s="4"/>
      <c r="K369" s="4"/>
      <c r="L369" s="4"/>
      <c r="M369" s="4"/>
      <c r="N369" s="4"/>
    </row>
    <row r="370" spans="1:14" ht="36" x14ac:dyDescent="0.35">
      <c r="A370" s="4" t="s">
        <v>1549</v>
      </c>
      <c r="B370" s="4">
        <v>3</v>
      </c>
      <c r="C370" s="4" t="s">
        <v>1702</v>
      </c>
      <c r="D370" s="4" t="s">
        <v>1570</v>
      </c>
      <c r="E370" s="4" t="s">
        <v>1595</v>
      </c>
      <c r="F370" s="4" t="s">
        <v>1651</v>
      </c>
      <c r="G370" s="4" t="s">
        <v>1695</v>
      </c>
      <c r="H370" s="4"/>
      <c r="I370" s="4"/>
      <c r="J370" s="4"/>
      <c r="K370" s="4"/>
      <c r="L370" s="4"/>
      <c r="M370" s="4"/>
      <c r="N370" s="4"/>
    </row>
    <row r="371" spans="1:14" ht="24" x14ac:dyDescent="0.35">
      <c r="A371" s="4" t="s">
        <v>1549</v>
      </c>
      <c r="B371" s="4">
        <v>4</v>
      </c>
      <c r="C371" s="4" t="s">
        <v>1696</v>
      </c>
      <c r="D371" s="4" t="s">
        <v>1582</v>
      </c>
      <c r="E371" s="4" t="s">
        <v>1697</v>
      </c>
      <c r="F371" s="4" t="s">
        <v>1698</v>
      </c>
      <c r="G371" s="4" t="s">
        <v>1699</v>
      </c>
      <c r="H371" s="4"/>
      <c r="I371" s="4"/>
      <c r="J371" s="4"/>
      <c r="K371" s="4"/>
      <c r="L371" s="4"/>
      <c r="M371" s="4"/>
      <c r="N371" s="4"/>
    </row>
    <row r="372" spans="1:14" ht="36" x14ac:dyDescent="0.35">
      <c r="A372" s="4" t="s">
        <v>1549</v>
      </c>
      <c r="B372" s="4">
        <v>5</v>
      </c>
      <c r="C372" s="4" t="s">
        <v>1700</v>
      </c>
      <c r="D372" s="4" t="s">
        <v>1582</v>
      </c>
      <c r="E372" s="4" t="s">
        <v>1669</v>
      </c>
      <c r="F372" s="4" t="s">
        <v>1670</v>
      </c>
      <c r="G372" s="4" t="s">
        <v>1701</v>
      </c>
      <c r="H372" s="4"/>
      <c r="I372" s="4"/>
      <c r="J372" s="4"/>
      <c r="K372" s="4"/>
      <c r="L372" s="4"/>
      <c r="M372" s="4"/>
      <c r="N372" s="4"/>
    </row>
    <row r="373" spans="1:14" ht="36" x14ac:dyDescent="0.35">
      <c r="A373" s="4" t="s">
        <v>1550</v>
      </c>
      <c r="B373" s="4">
        <v>1</v>
      </c>
      <c r="C373" s="4" t="s">
        <v>1687</v>
      </c>
      <c r="D373" s="4" t="s">
        <v>1490</v>
      </c>
      <c r="E373" s="4" t="s">
        <v>1688</v>
      </c>
      <c r="F373" s="4" t="s">
        <v>1488</v>
      </c>
      <c r="G373" s="4" t="s">
        <v>1689</v>
      </c>
      <c r="H373" s="4"/>
      <c r="I373" s="4"/>
      <c r="J373" s="4"/>
      <c r="K373" s="4"/>
      <c r="L373" s="4"/>
      <c r="M373" s="4"/>
      <c r="N373" s="4"/>
    </row>
    <row r="374" spans="1:14" ht="48" x14ac:dyDescent="0.35">
      <c r="A374" s="4" t="s">
        <v>1550</v>
      </c>
      <c r="B374" s="4">
        <v>2</v>
      </c>
      <c r="C374" s="4" t="s">
        <v>1690</v>
      </c>
      <c r="D374" s="4" t="s">
        <v>1570</v>
      </c>
      <c r="E374" s="4" t="s">
        <v>1691</v>
      </c>
      <c r="F374" s="4" t="s">
        <v>1692</v>
      </c>
      <c r="G374" s="4" t="s">
        <v>1693</v>
      </c>
      <c r="H374" s="4"/>
      <c r="I374" s="4"/>
      <c r="J374" s="4"/>
      <c r="K374" s="4"/>
      <c r="L374" s="4"/>
      <c r="M374" s="4"/>
      <c r="N374" s="4"/>
    </row>
    <row r="375" spans="1:14" ht="36" x14ac:dyDescent="0.35">
      <c r="A375" s="4" t="s">
        <v>1550</v>
      </c>
      <c r="B375" s="4">
        <v>3</v>
      </c>
      <c r="C375" s="4" t="s">
        <v>1702</v>
      </c>
      <c r="D375" s="4" t="s">
        <v>1570</v>
      </c>
      <c r="E375" s="4" t="s">
        <v>1595</v>
      </c>
      <c r="F375" s="4" t="s">
        <v>1651</v>
      </c>
      <c r="G375" s="4" t="s">
        <v>1695</v>
      </c>
      <c r="H375" s="4"/>
      <c r="I375" s="4"/>
      <c r="J375" s="4"/>
      <c r="K375" s="4"/>
      <c r="L375" s="4"/>
      <c r="M375" s="4"/>
      <c r="N375" s="4"/>
    </row>
    <row r="376" spans="1:14" ht="24" x14ac:dyDescent="0.35">
      <c r="A376" s="4" t="s">
        <v>1550</v>
      </c>
      <c r="B376" s="4">
        <v>4</v>
      </c>
      <c r="C376" s="4" t="s">
        <v>1696</v>
      </c>
      <c r="D376" s="4" t="s">
        <v>1582</v>
      </c>
      <c r="E376" s="4" t="s">
        <v>1697</v>
      </c>
      <c r="F376" s="4" t="s">
        <v>1698</v>
      </c>
      <c r="G376" s="4" t="s">
        <v>1699</v>
      </c>
      <c r="H376" s="4"/>
      <c r="I376" s="4"/>
      <c r="J376" s="4"/>
      <c r="K376" s="4"/>
      <c r="L376" s="4"/>
      <c r="M376" s="4"/>
      <c r="N376" s="4"/>
    </row>
    <row r="377" spans="1:14" ht="36" x14ac:dyDescent="0.35">
      <c r="A377" s="4" t="s">
        <v>1550</v>
      </c>
      <c r="B377" s="4">
        <v>5</v>
      </c>
      <c r="C377" s="4" t="s">
        <v>1700</v>
      </c>
      <c r="D377" s="4" t="s">
        <v>1582</v>
      </c>
      <c r="E377" s="4" t="s">
        <v>1669</v>
      </c>
      <c r="F377" s="4" t="s">
        <v>1670</v>
      </c>
      <c r="G377" s="4" t="s">
        <v>1701</v>
      </c>
      <c r="H377" s="4"/>
      <c r="I377" s="4"/>
      <c r="J377" s="4"/>
      <c r="K377" s="4"/>
      <c r="L377" s="4"/>
      <c r="M377" s="4"/>
      <c r="N377" s="4"/>
    </row>
    <row r="378" spans="1:14" ht="36" x14ac:dyDescent="0.35">
      <c r="A378" s="4" t="s">
        <v>1551</v>
      </c>
      <c r="B378" s="4">
        <v>1</v>
      </c>
      <c r="C378" s="4" t="s">
        <v>1687</v>
      </c>
      <c r="D378" s="4" t="s">
        <v>1490</v>
      </c>
      <c r="E378" s="4" t="s">
        <v>1688</v>
      </c>
      <c r="F378" s="4" t="s">
        <v>1488</v>
      </c>
      <c r="G378" s="4" t="s">
        <v>1689</v>
      </c>
      <c r="H378" s="4"/>
      <c r="I378" s="4"/>
      <c r="J378" s="4"/>
      <c r="K378" s="4"/>
      <c r="L378" s="4"/>
      <c r="M378" s="4"/>
      <c r="N378" s="4"/>
    </row>
    <row r="379" spans="1:14" ht="48" x14ac:dyDescent="0.35">
      <c r="A379" s="4" t="s">
        <v>1551</v>
      </c>
      <c r="B379" s="4">
        <v>2</v>
      </c>
      <c r="C379" s="4" t="s">
        <v>1690</v>
      </c>
      <c r="D379" s="4" t="s">
        <v>1570</v>
      </c>
      <c r="E379" s="4" t="s">
        <v>1691</v>
      </c>
      <c r="F379" s="4" t="s">
        <v>1692</v>
      </c>
      <c r="G379" s="4" t="s">
        <v>1693</v>
      </c>
      <c r="H379" s="4"/>
      <c r="I379" s="4"/>
      <c r="J379" s="4"/>
      <c r="K379" s="4"/>
      <c r="L379" s="4"/>
      <c r="M379" s="4"/>
      <c r="N379" s="4"/>
    </row>
    <row r="380" spans="1:14" ht="36" x14ac:dyDescent="0.35">
      <c r="A380" s="4" t="s">
        <v>1551</v>
      </c>
      <c r="B380" s="4">
        <v>3</v>
      </c>
      <c r="C380" s="4" t="s">
        <v>1702</v>
      </c>
      <c r="D380" s="4" t="s">
        <v>1570</v>
      </c>
      <c r="E380" s="4" t="s">
        <v>1595</v>
      </c>
      <c r="F380" s="4" t="s">
        <v>1651</v>
      </c>
      <c r="G380" s="4" t="s">
        <v>1695</v>
      </c>
      <c r="H380" s="4"/>
      <c r="I380" s="4"/>
      <c r="J380" s="4"/>
      <c r="K380" s="4"/>
      <c r="L380" s="4"/>
      <c r="M380" s="4"/>
      <c r="N380" s="4"/>
    </row>
    <row r="381" spans="1:14" ht="24" x14ac:dyDescent="0.35">
      <c r="A381" s="4" t="s">
        <v>1551</v>
      </c>
      <c r="B381" s="4">
        <v>4</v>
      </c>
      <c r="C381" s="4" t="s">
        <v>1696</v>
      </c>
      <c r="D381" s="4" t="s">
        <v>1582</v>
      </c>
      <c r="E381" s="4" t="s">
        <v>1697</v>
      </c>
      <c r="F381" s="4" t="s">
        <v>1698</v>
      </c>
      <c r="G381" s="4" t="s">
        <v>1699</v>
      </c>
      <c r="H381" s="4"/>
      <c r="I381" s="4"/>
      <c r="J381" s="4"/>
      <c r="K381" s="4"/>
      <c r="L381" s="4"/>
      <c r="M381" s="4"/>
      <c r="N381" s="4"/>
    </row>
    <row r="382" spans="1:14" ht="36" x14ac:dyDescent="0.35">
      <c r="A382" s="4" t="s">
        <v>1551</v>
      </c>
      <c r="B382" s="4">
        <v>5</v>
      </c>
      <c r="C382" s="4" t="s">
        <v>1700</v>
      </c>
      <c r="D382" s="4" t="s">
        <v>1582</v>
      </c>
      <c r="E382" s="4" t="s">
        <v>1669</v>
      </c>
      <c r="F382" s="4" t="s">
        <v>1670</v>
      </c>
      <c r="G382" s="4" t="s">
        <v>1701</v>
      </c>
      <c r="H382" s="4"/>
      <c r="I382" s="4"/>
      <c r="J382" s="4"/>
      <c r="K382" s="4"/>
      <c r="L382" s="4"/>
      <c r="M382" s="4"/>
      <c r="N382" s="4"/>
    </row>
    <row r="383" spans="1:14" ht="36" x14ac:dyDescent="0.35">
      <c r="A383" s="4" t="s">
        <v>1552</v>
      </c>
      <c r="B383" s="4">
        <v>1</v>
      </c>
      <c r="C383" s="4" t="s">
        <v>1687</v>
      </c>
      <c r="D383" s="4" t="s">
        <v>1490</v>
      </c>
      <c r="E383" s="4" t="s">
        <v>1688</v>
      </c>
      <c r="F383" s="4" t="s">
        <v>1488</v>
      </c>
      <c r="G383" s="4" t="s">
        <v>1689</v>
      </c>
      <c r="H383" s="4"/>
      <c r="I383" s="4"/>
      <c r="J383" s="4"/>
      <c r="K383" s="4"/>
      <c r="L383" s="4"/>
      <c r="M383" s="4"/>
      <c r="N383" s="4"/>
    </row>
    <row r="384" spans="1:14" ht="48" x14ac:dyDescent="0.35">
      <c r="A384" s="4" t="s">
        <v>1552</v>
      </c>
      <c r="B384" s="4">
        <v>2</v>
      </c>
      <c r="C384" s="4" t="s">
        <v>1690</v>
      </c>
      <c r="D384" s="4" t="s">
        <v>1570</v>
      </c>
      <c r="E384" s="4" t="s">
        <v>1691</v>
      </c>
      <c r="F384" s="4" t="s">
        <v>1692</v>
      </c>
      <c r="G384" s="4" t="s">
        <v>1693</v>
      </c>
      <c r="H384" s="4"/>
      <c r="I384" s="4"/>
      <c r="J384" s="4"/>
      <c r="K384" s="4"/>
      <c r="L384" s="4"/>
      <c r="M384" s="4"/>
      <c r="N384" s="4"/>
    </row>
    <row r="385" spans="1:14" ht="36" x14ac:dyDescent="0.35">
      <c r="A385" s="4" t="s">
        <v>1552</v>
      </c>
      <c r="B385" s="4">
        <v>3</v>
      </c>
      <c r="C385" s="4" t="s">
        <v>1702</v>
      </c>
      <c r="D385" s="4" t="s">
        <v>1570</v>
      </c>
      <c r="E385" s="4" t="s">
        <v>1595</v>
      </c>
      <c r="F385" s="4" t="s">
        <v>1651</v>
      </c>
      <c r="G385" s="4" t="s">
        <v>1695</v>
      </c>
      <c r="H385" s="4"/>
      <c r="I385" s="4"/>
      <c r="J385" s="4"/>
      <c r="K385" s="4"/>
      <c r="L385" s="4"/>
      <c r="M385" s="4"/>
      <c r="N385" s="4"/>
    </row>
    <row r="386" spans="1:14" ht="24" x14ac:dyDescent="0.35">
      <c r="A386" s="4" t="s">
        <v>1552</v>
      </c>
      <c r="B386" s="4">
        <v>4</v>
      </c>
      <c r="C386" s="4" t="s">
        <v>1696</v>
      </c>
      <c r="D386" s="4" t="s">
        <v>1582</v>
      </c>
      <c r="E386" s="4" t="s">
        <v>1697</v>
      </c>
      <c r="F386" s="4" t="s">
        <v>1698</v>
      </c>
      <c r="G386" s="4" t="s">
        <v>1699</v>
      </c>
      <c r="H386" s="4"/>
      <c r="I386" s="4"/>
      <c r="J386" s="4"/>
      <c r="K386" s="4"/>
      <c r="L386" s="4"/>
      <c r="M386" s="4"/>
      <c r="N386" s="4"/>
    </row>
    <row r="387" spans="1:14" ht="36" x14ac:dyDescent="0.35">
      <c r="A387" s="4" t="s">
        <v>1552</v>
      </c>
      <c r="B387" s="4">
        <v>5</v>
      </c>
      <c r="C387" s="4" t="s">
        <v>1700</v>
      </c>
      <c r="D387" s="4" t="s">
        <v>1582</v>
      </c>
      <c r="E387" s="4" t="s">
        <v>1669</v>
      </c>
      <c r="F387" s="4" t="s">
        <v>1670</v>
      </c>
      <c r="G387" s="4" t="s">
        <v>1701</v>
      </c>
      <c r="H387" s="4"/>
      <c r="I387" s="4"/>
      <c r="J387" s="4"/>
      <c r="K387" s="4"/>
      <c r="L387" s="4"/>
      <c r="M387" s="4"/>
      <c r="N387" s="4"/>
    </row>
    <row r="388" spans="1:14" ht="36" x14ac:dyDescent="0.35">
      <c r="A388" s="4" t="s">
        <v>1553</v>
      </c>
      <c r="B388" s="4">
        <v>1</v>
      </c>
      <c r="C388" s="4" t="s">
        <v>1687</v>
      </c>
      <c r="D388" s="4" t="s">
        <v>1490</v>
      </c>
      <c r="E388" s="4" t="s">
        <v>1688</v>
      </c>
      <c r="F388" s="4" t="s">
        <v>1488</v>
      </c>
      <c r="G388" s="4" t="s">
        <v>1689</v>
      </c>
      <c r="H388" s="4"/>
      <c r="I388" s="4"/>
      <c r="J388" s="4"/>
      <c r="K388" s="4"/>
      <c r="L388" s="4"/>
      <c r="M388" s="4"/>
      <c r="N388" s="4"/>
    </row>
    <row r="389" spans="1:14" ht="48" x14ac:dyDescent="0.35">
      <c r="A389" s="4" t="s">
        <v>1553</v>
      </c>
      <c r="B389" s="4">
        <v>2</v>
      </c>
      <c r="C389" s="4" t="s">
        <v>1690</v>
      </c>
      <c r="D389" s="4" t="s">
        <v>1570</v>
      </c>
      <c r="E389" s="4" t="s">
        <v>1691</v>
      </c>
      <c r="F389" s="4" t="s">
        <v>1692</v>
      </c>
      <c r="G389" s="4" t="s">
        <v>1693</v>
      </c>
      <c r="H389" s="4"/>
      <c r="I389" s="4"/>
      <c r="J389" s="4"/>
      <c r="K389" s="4"/>
      <c r="L389" s="4"/>
      <c r="M389" s="4"/>
      <c r="N389" s="4"/>
    </row>
    <row r="390" spans="1:14" ht="36" x14ac:dyDescent="0.35">
      <c r="A390" s="4" t="s">
        <v>1553</v>
      </c>
      <c r="B390" s="4">
        <v>3</v>
      </c>
      <c r="C390" s="4" t="s">
        <v>1702</v>
      </c>
      <c r="D390" s="4" t="s">
        <v>1570</v>
      </c>
      <c r="E390" s="4" t="s">
        <v>1595</v>
      </c>
      <c r="F390" s="4" t="s">
        <v>1651</v>
      </c>
      <c r="G390" s="4" t="s">
        <v>1695</v>
      </c>
      <c r="H390" s="4"/>
      <c r="I390" s="4"/>
      <c r="J390" s="4"/>
      <c r="K390" s="4"/>
      <c r="L390" s="4"/>
      <c r="M390" s="4"/>
      <c r="N390" s="4"/>
    </row>
    <row r="391" spans="1:14" ht="24" x14ac:dyDescent="0.35">
      <c r="A391" s="4" t="s">
        <v>1553</v>
      </c>
      <c r="B391" s="4">
        <v>4</v>
      </c>
      <c r="C391" s="4" t="s">
        <v>1696</v>
      </c>
      <c r="D391" s="4" t="s">
        <v>1582</v>
      </c>
      <c r="E391" s="4" t="s">
        <v>1697</v>
      </c>
      <c r="F391" s="4" t="s">
        <v>1698</v>
      </c>
      <c r="G391" s="4" t="s">
        <v>1699</v>
      </c>
      <c r="H391" s="4"/>
      <c r="I391" s="4"/>
      <c r="J391" s="4"/>
      <c r="K391" s="4"/>
      <c r="L391" s="4"/>
      <c r="M391" s="4"/>
      <c r="N391" s="4"/>
    </row>
    <row r="392" spans="1:14" ht="36" x14ac:dyDescent="0.35">
      <c r="A392" s="4" t="s">
        <v>1553</v>
      </c>
      <c r="B392" s="4">
        <v>5</v>
      </c>
      <c r="C392" s="4" t="s">
        <v>1700</v>
      </c>
      <c r="D392" s="4" t="s">
        <v>1582</v>
      </c>
      <c r="E392" s="4" t="s">
        <v>1669</v>
      </c>
      <c r="F392" s="4" t="s">
        <v>1670</v>
      </c>
      <c r="G392" s="4" t="s">
        <v>1701</v>
      </c>
      <c r="H392" s="4"/>
      <c r="I392" s="4"/>
      <c r="J392" s="4"/>
      <c r="K392" s="4"/>
      <c r="L392" s="4"/>
      <c r="M392" s="4"/>
      <c r="N392" s="4"/>
    </row>
    <row r="393" spans="1:14" x14ac:dyDescent="0.35">
      <c r="A393" s="4"/>
      <c r="B393" s="4"/>
      <c r="C393" s="4"/>
      <c r="D393" s="4"/>
      <c r="E393" s="4"/>
      <c r="F393" s="4"/>
      <c r="G393" s="4"/>
      <c r="H393" s="4"/>
      <c r="I393" s="4"/>
      <c r="J393" s="4"/>
      <c r="K393" s="4"/>
      <c r="L393" s="4"/>
      <c r="M393" s="4"/>
      <c r="N393" s="4"/>
    </row>
  </sheetData>
  <autoFilter ref="A76:N306" xr:uid="{78957F1D-8351-4968-B0E8-A1FBEC40528D}">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autoFilter>
  <mergeCells count="15">
    <mergeCell ref="A26:N26"/>
    <mergeCell ref="A1:N1"/>
    <mergeCell ref="A2:N2"/>
    <mergeCell ref="A3:N3"/>
    <mergeCell ref="A5:N5"/>
    <mergeCell ref="A15:N15"/>
    <mergeCell ref="A336:N336"/>
    <mergeCell ref="A347:N347"/>
    <mergeCell ref="A357:N357"/>
    <mergeCell ref="A37:N37"/>
    <mergeCell ref="A39:N39"/>
    <mergeCell ref="A76:N76"/>
    <mergeCell ref="A308:N308"/>
    <mergeCell ref="A324:N324"/>
    <mergeCell ref="A334:H334"/>
  </mergeCells>
  <hyperlinks>
    <hyperlink ref="F21" r:id="rId1" xr:uid="{E7DAECAB-85A7-44A4-B9B5-1F522DA02748}"/>
  </hyperlinks>
  <pageMargins left="0.7" right="0.7" top="0.75" bottom="0.75" header="0.3" footer="0.3"/>
  <pageSetup paperSize="9" orientation="portrait"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6"/>
  <sheetViews>
    <sheetView workbookViewId="0">
      <selection activeCell="C9" sqref="C9"/>
    </sheetView>
  </sheetViews>
  <sheetFormatPr defaultRowHeight="14.5" x14ac:dyDescent="0.35"/>
  <cols>
    <col min="1" max="1" width="15.7265625" customWidth="1"/>
    <col min="2" max="2" width="12.7265625" customWidth="1"/>
    <col min="3" max="3" width="45.7265625" customWidth="1"/>
    <col min="4" max="4" width="16.7265625" customWidth="1"/>
    <col min="5" max="5" width="49.7265625" customWidth="1"/>
    <col min="6" max="8" width="50.7265625" customWidth="1"/>
    <col min="9" max="9" width="5.7265625" customWidth="1"/>
    <col min="10" max="10" width="50.7265625" customWidth="1"/>
    <col min="11" max="11" width="16.7265625" customWidth="1"/>
    <col min="12" max="12" width="25.7265625" customWidth="1"/>
    <col min="13" max="13" width="20.7265625" customWidth="1"/>
  </cols>
  <sheetData>
    <row r="1" spans="1:13" ht="22.5" x14ac:dyDescent="0.35">
      <c r="A1" s="32" t="s">
        <v>0</v>
      </c>
      <c r="B1" s="32"/>
      <c r="C1" s="32"/>
      <c r="D1" s="32"/>
      <c r="E1" s="32"/>
      <c r="F1" s="32"/>
      <c r="G1" s="32"/>
      <c r="H1" s="32"/>
      <c r="I1" s="32"/>
      <c r="J1" s="32"/>
      <c r="K1" s="32"/>
      <c r="L1" s="32"/>
      <c r="M1" s="32"/>
    </row>
    <row r="2" spans="1:13" ht="15.5" x14ac:dyDescent="0.35">
      <c r="A2" s="33" t="s">
        <v>1</v>
      </c>
      <c r="B2" s="33"/>
      <c r="C2" s="33"/>
      <c r="D2" s="33"/>
      <c r="E2" s="33"/>
      <c r="F2" s="33"/>
      <c r="G2" s="33"/>
      <c r="H2" s="33"/>
      <c r="I2" s="33"/>
      <c r="J2" s="33"/>
      <c r="K2" s="33"/>
      <c r="L2" s="33"/>
      <c r="M2" s="33"/>
    </row>
    <row r="3" spans="1:13" x14ac:dyDescent="0.35">
      <c r="A3" s="31" t="s">
        <v>2</v>
      </c>
      <c r="B3" s="31"/>
      <c r="C3" s="31"/>
      <c r="D3" s="31"/>
      <c r="E3" s="31"/>
      <c r="F3" s="31"/>
      <c r="G3" s="31"/>
      <c r="H3" s="31"/>
      <c r="I3" s="31"/>
      <c r="J3" s="31"/>
      <c r="K3" s="31"/>
      <c r="L3" s="31"/>
      <c r="M3" s="31"/>
    </row>
    <row r="4" spans="1:13" x14ac:dyDescent="0.35">
      <c r="A4" s="31" t="s">
        <v>3</v>
      </c>
      <c r="B4" s="31"/>
      <c r="C4" s="31"/>
      <c r="D4" s="31"/>
      <c r="E4" s="31"/>
      <c r="F4" s="31"/>
      <c r="G4" s="31"/>
      <c r="H4" s="31"/>
      <c r="I4" s="31"/>
      <c r="J4" s="31"/>
      <c r="K4" s="31"/>
      <c r="L4" s="31"/>
      <c r="M4" s="31"/>
    </row>
    <row r="5" spans="1:13" x14ac:dyDescent="0.35">
      <c r="A5" s="31" t="s">
        <v>4</v>
      </c>
      <c r="B5" s="31"/>
      <c r="C5" s="31"/>
      <c r="D5" s="31"/>
      <c r="E5" s="31"/>
      <c r="F5" s="31"/>
      <c r="G5" s="31"/>
      <c r="H5" s="31"/>
      <c r="I5" s="31"/>
      <c r="J5" s="31"/>
      <c r="K5" s="31"/>
      <c r="L5" s="31"/>
      <c r="M5" s="31"/>
    </row>
    <row r="6" spans="1:13" x14ac:dyDescent="0.35">
      <c r="A6" s="31" t="s">
        <v>5</v>
      </c>
      <c r="B6" s="31"/>
      <c r="C6" s="31"/>
      <c r="D6" s="31"/>
      <c r="E6" s="31"/>
      <c r="F6" s="31"/>
      <c r="G6" s="31"/>
      <c r="H6" s="31"/>
      <c r="I6" s="31"/>
      <c r="J6" s="31"/>
      <c r="K6" s="31"/>
      <c r="L6" s="31"/>
      <c r="M6" s="31"/>
    </row>
    <row r="7" spans="1:13" x14ac:dyDescent="0.35">
      <c r="A7" s="1" t="s">
        <v>6</v>
      </c>
      <c r="B7" s="1" t="s">
        <v>7</v>
      </c>
      <c r="C7" s="1" t="s">
        <v>8</v>
      </c>
      <c r="D7" s="1" t="s">
        <v>9</v>
      </c>
      <c r="E7" s="1" t="s">
        <v>10</v>
      </c>
      <c r="F7" s="1" t="s">
        <v>11</v>
      </c>
      <c r="G7" s="1" t="s">
        <v>12</v>
      </c>
      <c r="H7" s="1" t="s">
        <v>13</v>
      </c>
      <c r="I7" s="1" t="s">
        <v>14</v>
      </c>
      <c r="J7" s="1" t="s">
        <v>15</v>
      </c>
      <c r="K7" s="1" t="s">
        <v>16</v>
      </c>
      <c r="L7" s="1" t="s">
        <v>17</v>
      </c>
      <c r="M7" s="1" t="s">
        <v>18</v>
      </c>
    </row>
    <row r="8" spans="1:13" x14ac:dyDescent="0.35">
      <c r="A8" s="2" t="s">
        <v>19</v>
      </c>
      <c r="B8" s="2" t="s">
        <v>20</v>
      </c>
      <c r="C8" s="2" t="s">
        <v>21</v>
      </c>
      <c r="D8" s="2" t="s">
        <v>22</v>
      </c>
      <c r="E8" s="2" t="s">
        <v>23</v>
      </c>
      <c r="F8" s="2" t="s">
        <v>24</v>
      </c>
      <c r="G8" s="2" t="s">
        <v>25</v>
      </c>
      <c r="H8" s="2" t="s">
        <v>26</v>
      </c>
      <c r="I8" s="2"/>
      <c r="J8" s="2"/>
      <c r="K8" s="2"/>
      <c r="L8" s="2"/>
      <c r="M8" s="3">
        <v>1</v>
      </c>
    </row>
    <row r="9" spans="1:13" x14ac:dyDescent="0.35">
      <c r="A9" s="2" t="s">
        <v>19</v>
      </c>
      <c r="B9" s="2" t="s">
        <v>20</v>
      </c>
      <c r="C9" s="2" t="s">
        <v>27</v>
      </c>
      <c r="D9" s="2" t="s">
        <v>22</v>
      </c>
      <c r="E9" s="2" t="s">
        <v>28</v>
      </c>
      <c r="F9" s="2" t="s">
        <v>29</v>
      </c>
      <c r="G9" s="2" t="s">
        <v>30</v>
      </c>
      <c r="H9" s="2" t="s">
        <v>31</v>
      </c>
      <c r="I9" s="2"/>
      <c r="J9" s="2" t="s">
        <v>32</v>
      </c>
      <c r="K9" s="2"/>
      <c r="L9" s="2"/>
      <c r="M9" s="3">
        <v>11</v>
      </c>
    </row>
    <row r="10" spans="1:13" x14ac:dyDescent="0.35">
      <c r="A10" s="2" t="s">
        <v>19</v>
      </c>
      <c r="B10" s="2" t="s">
        <v>20</v>
      </c>
      <c r="C10" s="2" t="s">
        <v>33</v>
      </c>
      <c r="D10" s="2" t="s">
        <v>22</v>
      </c>
      <c r="E10" s="2" t="s">
        <v>23</v>
      </c>
      <c r="F10" s="2" t="s">
        <v>34</v>
      </c>
      <c r="G10" s="2" t="s">
        <v>35</v>
      </c>
      <c r="H10" s="2" t="s">
        <v>36</v>
      </c>
      <c r="I10" s="2"/>
      <c r="J10" s="2"/>
      <c r="K10" s="2"/>
      <c r="L10" s="2"/>
      <c r="M10" s="3">
        <v>4</v>
      </c>
    </row>
    <row r="11" spans="1:13" x14ac:dyDescent="0.35">
      <c r="A11" s="2" t="s">
        <v>19</v>
      </c>
      <c r="B11" s="2" t="s">
        <v>20</v>
      </c>
      <c r="C11" s="2" t="s">
        <v>37</v>
      </c>
      <c r="D11" s="2" t="s">
        <v>22</v>
      </c>
      <c r="E11" s="2" t="s">
        <v>38</v>
      </c>
      <c r="F11" s="2" t="s">
        <v>39</v>
      </c>
      <c r="G11" s="2" t="s">
        <v>40</v>
      </c>
      <c r="H11" s="2" t="s">
        <v>41</v>
      </c>
      <c r="I11" s="2"/>
      <c r="J11" s="2"/>
      <c r="K11" s="2"/>
      <c r="L11" s="2"/>
      <c r="M11" s="3">
        <v>1</v>
      </c>
    </row>
    <row r="12" spans="1:13" x14ac:dyDescent="0.35">
      <c r="A12" s="2" t="s">
        <v>19</v>
      </c>
      <c r="B12" s="2" t="s">
        <v>20</v>
      </c>
      <c r="C12" s="2" t="s">
        <v>42</v>
      </c>
      <c r="D12" s="2" t="s">
        <v>22</v>
      </c>
      <c r="E12" s="2" t="s">
        <v>43</v>
      </c>
      <c r="F12" s="2" t="s">
        <v>44</v>
      </c>
      <c r="G12" s="2" t="s">
        <v>45</v>
      </c>
      <c r="H12" s="2" t="s">
        <v>46</v>
      </c>
      <c r="I12" s="2"/>
      <c r="J12" s="2"/>
      <c r="K12" s="2"/>
      <c r="L12" s="2"/>
      <c r="M12" s="3">
        <v>30</v>
      </c>
    </row>
    <row r="13" spans="1:13" x14ac:dyDescent="0.35">
      <c r="A13" s="2" t="s">
        <v>19</v>
      </c>
      <c r="B13" s="2" t="s">
        <v>20</v>
      </c>
      <c r="C13" s="2" t="s">
        <v>47</v>
      </c>
      <c r="D13" s="2" t="s">
        <v>22</v>
      </c>
      <c r="E13" s="2" t="s">
        <v>48</v>
      </c>
      <c r="F13" s="2" t="s">
        <v>49</v>
      </c>
      <c r="G13" s="2" t="s">
        <v>50</v>
      </c>
      <c r="H13" s="2" t="s">
        <v>51</v>
      </c>
      <c r="I13" s="2"/>
      <c r="J13" s="2"/>
      <c r="K13" s="2"/>
      <c r="L13" s="2"/>
      <c r="M13" s="3">
        <v>7</v>
      </c>
    </row>
    <row r="14" spans="1:13" x14ac:dyDescent="0.35">
      <c r="A14" s="2" t="s">
        <v>19</v>
      </c>
      <c r="B14" s="2" t="s">
        <v>20</v>
      </c>
      <c r="C14" s="2" t="s">
        <v>52</v>
      </c>
      <c r="D14" s="2" t="s">
        <v>22</v>
      </c>
      <c r="E14" s="2" t="s">
        <v>53</v>
      </c>
      <c r="F14" s="2" t="s">
        <v>54</v>
      </c>
      <c r="G14" s="2" t="s">
        <v>55</v>
      </c>
      <c r="H14" s="2" t="s">
        <v>56</v>
      </c>
      <c r="I14" s="2"/>
      <c r="J14" s="2" t="s">
        <v>57</v>
      </c>
      <c r="K14" s="2"/>
      <c r="L14" s="2"/>
      <c r="M14" s="3">
        <v>16</v>
      </c>
    </row>
    <row r="15" spans="1:13" x14ac:dyDescent="0.35">
      <c r="A15" s="2" t="s">
        <v>58</v>
      </c>
      <c r="B15" s="2" t="s">
        <v>59</v>
      </c>
      <c r="C15" s="2" t="s">
        <v>60</v>
      </c>
      <c r="D15" s="2" t="s">
        <v>61</v>
      </c>
      <c r="E15" s="2" t="s">
        <v>62</v>
      </c>
      <c r="F15" s="2" t="s">
        <v>62</v>
      </c>
      <c r="G15" s="2" t="s">
        <v>63</v>
      </c>
      <c r="H15" s="2" t="s">
        <v>63</v>
      </c>
      <c r="I15" s="2"/>
      <c r="J15" s="2" t="s">
        <v>60</v>
      </c>
      <c r="K15" s="2"/>
      <c r="L15" s="2"/>
      <c r="M15" s="3">
        <v>19</v>
      </c>
    </row>
    <row r="16" spans="1:13" x14ac:dyDescent="0.35">
      <c r="A16" s="2" t="s">
        <v>58</v>
      </c>
      <c r="B16" s="2" t="s">
        <v>59</v>
      </c>
      <c r="C16" s="2" t="s">
        <v>64</v>
      </c>
      <c r="D16" s="2" t="s">
        <v>61</v>
      </c>
      <c r="E16" s="2" t="s">
        <v>65</v>
      </c>
      <c r="F16" s="2" t="s">
        <v>65</v>
      </c>
      <c r="G16" s="2" t="s">
        <v>66</v>
      </c>
      <c r="H16" s="2" t="s">
        <v>67</v>
      </c>
      <c r="I16" s="2"/>
      <c r="J16" s="2" t="s">
        <v>64</v>
      </c>
      <c r="K16" s="2"/>
      <c r="L16" s="2"/>
      <c r="M16" s="3">
        <v>9</v>
      </c>
    </row>
    <row r="17" spans="1:13" x14ac:dyDescent="0.35">
      <c r="A17" s="2" t="s">
        <v>58</v>
      </c>
      <c r="B17" s="2" t="s">
        <v>59</v>
      </c>
      <c r="C17" s="2" t="s">
        <v>68</v>
      </c>
      <c r="D17" s="2" t="s">
        <v>22</v>
      </c>
      <c r="E17" s="2" t="s">
        <v>69</v>
      </c>
      <c r="F17" s="2" t="s">
        <v>69</v>
      </c>
      <c r="G17" s="2" t="s">
        <v>70</v>
      </c>
      <c r="H17" s="2" t="s">
        <v>71</v>
      </c>
      <c r="I17" s="2"/>
      <c r="J17" s="2" t="s">
        <v>72</v>
      </c>
      <c r="K17" s="2"/>
      <c r="L17" s="2"/>
      <c r="M17" s="3">
        <v>8</v>
      </c>
    </row>
    <row r="18" spans="1:13" x14ac:dyDescent="0.35">
      <c r="A18" s="2" t="s">
        <v>58</v>
      </c>
      <c r="B18" s="2" t="s">
        <v>59</v>
      </c>
      <c r="C18" s="2" t="s">
        <v>73</v>
      </c>
      <c r="D18" s="2" t="s">
        <v>61</v>
      </c>
      <c r="E18" s="2" t="s">
        <v>74</v>
      </c>
      <c r="F18" s="2" t="s">
        <v>74</v>
      </c>
      <c r="G18" s="2" t="s">
        <v>75</v>
      </c>
      <c r="H18" s="2" t="s">
        <v>75</v>
      </c>
      <c r="I18" s="2"/>
      <c r="J18" s="2" t="s">
        <v>73</v>
      </c>
      <c r="K18" s="2"/>
      <c r="L18" s="2"/>
      <c r="M18" s="3">
        <v>18</v>
      </c>
    </row>
    <row r="19" spans="1:13" x14ac:dyDescent="0.35">
      <c r="A19" s="2" t="s">
        <v>58</v>
      </c>
      <c r="B19" s="2" t="s">
        <v>59</v>
      </c>
      <c r="C19" s="2" t="s">
        <v>76</v>
      </c>
      <c r="D19" s="2" t="s">
        <v>61</v>
      </c>
      <c r="E19" s="2" t="s">
        <v>77</v>
      </c>
      <c r="F19" s="2" t="s">
        <v>77</v>
      </c>
      <c r="G19" s="2" t="s">
        <v>78</v>
      </c>
      <c r="H19" s="2" t="s">
        <v>79</v>
      </c>
      <c r="I19" s="2"/>
      <c r="J19" s="2" t="s">
        <v>80</v>
      </c>
      <c r="K19" s="2"/>
      <c r="L19" s="2"/>
      <c r="M19" s="3">
        <v>1160</v>
      </c>
    </row>
    <row r="20" spans="1:13" x14ac:dyDescent="0.35">
      <c r="A20" s="2" t="s">
        <v>58</v>
      </c>
      <c r="B20" s="2" t="s">
        <v>59</v>
      </c>
      <c r="C20" s="2" t="s">
        <v>81</v>
      </c>
      <c r="D20" s="2" t="s">
        <v>61</v>
      </c>
      <c r="E20" s="2" t="s">
        <v>82</v>
      </c>
      <c r="F20" s="2" t="s">
        <v>82</v>
      </c>
      <c r="G20" s="2" t="s">
        <v>83</v>
      </c>
      <c r="H20" s="2" t="s">
        <v>83</v>
      </c>
      <c r="I20" s="2"/>
      <c r="J20" s="2" t="s">
        <v>81</v>
      </c>
      <c r="K20" s="2"/>
      <c r="L20" s="2"/>
      <c r="M20" s="3">
        <v>16</v>
      </c>
    </row>
    <row r="21" spans="1:13" x14ac:dyDescent="0.35">
      <c r="A21" s="2" t="s">
        <v>58</v>
      </c>
      <c r="B21" s="2" t="s">
        <v>59</v>
      </c>
      <c r="C21" s="2" t="s">
        <v>84</v>
      </c>
      <c r="D21" s="2" t="s">
        <v>61</v>
      </c>
      <c r="E21" s="2" t="s">
        <v>85</v>
      </c>
      <c r="F21" s="2" t="s">
        <v>85</v>
      </c>
      <c r="G21" s="2" t="s">
        <v>86</v>
      </c>
      <c r="H21" s="2" t="s">
        <v>86</v>
      </c>
      <c r="I21" s="2"/>
      <c r="J21" s="2" t="s">
        <v>84</v>
      </c>
      <c r="K21" s="2"/>
      <c r="L21" s="2"/>
      <c r="M21" s="3">
        <v>10</v>
      </c>
    </row>
    <row r="22" spans="1:13" x14ac:dyDescent="0.35">
      <c r="A22" s="2" t="s">
        <v>58</v>
      </c>
      <c r="B22" s="2" t="s">
        <v>59</v>
      </c>
      <c r="C22" s="2" t="s">
        <v>87</v>
      </c>
      <c r="D22" s="2" t="s">
        <v>61</v>
      </c>
      <c r="E22" s="2" t="s">
        <v>88</v>
      </c>
      <c r="F22" s="2" t="s">
        <v>88</v>
      </c>
      <c r="G22" s="2" t="s">
        <v>89</v>
      </c>
      <c r="H22" s="2" t="s">
        <v>89</v>
      </c>
      <c r="I22" s="2"/>
      <c r="J22" s="2" t="s">
        <v>87</v>
      </c>
      <c r="K22" s="2"/>
      <c r="L22" s="2"/>
      <c r="M22" s="3">
        <v>10</v>
      </c>
    </row>
    <row r="23" spans="1:13" x14ac:dyDescent="0.35">
      <c r="A23" s="2" t="s">
        <v>58</v>
      </c>
      <c r="B23" s="2" t="s">
        <v>59</v>
      </c>
      <c r="C23" s="2" t="s">
        <v>90</v>
      </c>
      <c r="D23" s="2" t="s">
        <v>22</v>
      </c>
      <c r="E23" s="2" t="s">
        <v>91</v>
      </c>
      <c r="F23" s="2" t="s">
        <v>91</v>
      </c>
      <c r="G23" s="2" t="s">
        <v>92</v>
      </c>
      <c r="H23" s="2" t="s">
        <v>93</v>
      </c>
      <c r="I23" s="2"/>
      <c r="J23" s="2"/>
      <c r="K23" s="2"/>
      <c r="L23" s="2"/>
      <c r="M23" s="3">
        <v>433</v>
      </c>
    </row>
    <row r="24" spans="1:13" x14ac:dyDescent="0.35">
      <c r="A24" s="2" t="s">
        <v>58</v>
      </c>
      <c r="B24" s="2" t="s">
        <v>59</v>
      </c>
      <c r="C24" s="2" t="s">
        <v>94</v>
      </c>
      <c r="D24" s="2" t="s">
        <v>61</v>
      </c>
      <c r="E24" s="2" t="s">
        <v>95</v>
      </c>
      <c r="F24" s="2" t="s">
        <v>95</v>
      </c>
      <c r="G24" s="2" t="s">
        <v>96</v>
      </c>
      <c r="H24" s="2" t="s">
        <v>96</v>
      </c>
      <c r="I24" s="2"/>
      <c r="J24" s="2" t="s">
        <v>94</v>
      </c>
      <c r="K24" s="2"/>
      <c r="L24" s="2"/>
      <c r="M24" s="3">
        <v>14</v>
      </c>
    </row>
    <row r="25" spans="1:13" x14ac:dyDescent="0.35">
      <c r="A25" s="2" t="s">
        <v>58</v>
      </c>
      <c r="B25" s="2" t="s">
        <v>59</v>
      </c>
      <c r="C25" s="2" t="s">
        <v>97</v>
      </c>
      <c r="D25" s="2" t="s">
        <v>61</v>
      </c>
      <c r="E25" s="2" t="s">
        <v>98</v>
      </c>
      <c r="F25" s="2" t="s">
        <v>98</v>
      </c>
      <c r="G25" s="2" t="s">
        <v>99</v>
      </c>
      <c r="H25" s="2" t="s">
        <v>99</v>
      </c>
      <c r="I25" s="2"/>
      <c r="J25" s="2" t="s">
        <v>97</v>
      </c>
      <c r="K25" s="2"/>
      <c r="L25" s="2"/>
      <c r="M25" s="3">
        <v>11</v>
      </c>
    </row>
    <row r="26" spans="1:13" x14ac:dyDescent="0.35">
      <c r="A26" s="2" t="s">
        <v>58</v>
      </c>
      <c r="B26" s="2" t="s">
        <v>59</v>
      </c>
      <c r="C26" s="2" t="s">
        <v>100</v>
      </c>
      <c r="D26" s="2" t="s">
        <v>61</v>
      </c>
      <c r="E26" s="2" t="s">
        <v>101</v>
      </c>
      <c r="F26" s="2" t="s">
        <v>101</v>
      </c>
      <c r="G26" s="2" t="s">
        <v>102</v>
      </c>
      <c r="H26" s="2" t="s">
        <v>103</v>
      </c>
      <c r="I26" s="2"/>
      <c r="J26" s="2" t="s">
        <v>100</v>
      </c>
      <c r="K26" s="2"/>
      <c r="L26" s="2"/>
      <c r="M26" s="3">
        <v>13</v>
      </c>
    </row>
    <row r="27" spans="1:13" x14ac:dyDescent="0.35">
      <c r="A27" s="2" t="s">
        <v>58</v>
      </c>
      <c r="B27" s="2" t="s">
        <v>59</v>
      </c>
      <c r="C27" s="2" t="s">
        <v>104</v>
      </c>
      <c r="D27" s="2" t="s">
        <v>61</v>
      </c>
      <c r="E27" s="2" t="s">
        <v>105</v>
      </c>
      <c r="F27" s="2" t="s">
        <v>105</v>
      </c>
      <c r="G27" s="2" t="s">
        <v>106</v>
      </c>
      <c r="H27" s="2" t="s">
        <v>107</v>
      </c>
      <c r="I27" s="2"/>
      <c r="J27" s="2" t="s">
        <v>108</v>
      </c>
      <c r="K27" s="2"/>
      <c r="L27" s="2"/>
      <c r="M27" s="3">
        <v>130</v>
      </c>
    </row>
    <row r="28" spans="1:13" x14ac:dyDescent="0.35">
      <c r="A28" s="2" t="s">
        <v>58</v>
      </c>
      <c r="B28" s="2" t="s">
        <v>59</v>
      </c>
      <c r="C28" s="2" t="s">
        <v>109</v>
      </c>
      <c r="D28" s="2" t="s">
        <v>22</v>
      </c>
      <c r="E28" s="2" t="s">
        <v>110</v>
      </c>
      <c r="F28" s="2" t="s">
        <v>110</v>
      </c>
      <c r="G28" s="2" t="s">
        <v>111</v>
      </c>
      <c r="H28" s="2" t="s">
        <v>112</v>
      </c>
      <c r="I28" s="2"/>
      <c r="J28" s="2" t="s">
        <v>113</v>
      </c>
      <c r="K28" s="2"/>
      <c r="L28" s="2"/>
      <c r="M28" s="3">
        <v>20</v>
      </c>
    </row>
    <row r="29" spans="1:13" x14ac:dyDescent="0.35">
      <c r="A29" s="2" t="s">
        <v>58</v>
      </c>
      <c r="B29" s="2" t="s">
        <v>59</v>
      </c>
      <c r="C29" s="2" t="s">
        <v>114</v>
      </c>
      <c r="D29" s="2" t="s">
        <v>61</v>
      </c>
      <c r="E29" s="2" t="s">
        <v>115</v>
      </c>
      <c r="F29" s="2" t="s">
        <v>115</v>
      </c>
      <c r="G29" s="2" t="s">
        <v>116</v>
      </c>
      <c r="H29" s="2" t="s">
        <v>116</v>
      </c>
      <c r="I29" s="2"/>
      <c r="J29" s="2" t="s">
        <v>114</v>
      </c>
      <c r="K29" s="2"/>
      <c r="L29" s="2"/>
      <c r="M29" s="3">
        <v>18</v>
      </c>
    </row>
    <row r="30" spans="1:13" x14ac:dyDescent="0.35">
      <c r="A30" s="2" t="s">
        <v>58</v>
      </c>
      <c r="B30" s="2" t="s">
        <v>59</v>
      </c>
      <c r="C30" s="2" t="s">
        <v>117</v>
      </c>
      <c r="D30" s="2" t="s">
        <v>61</v>
      </c>
      <c r="E30" s="2" t="s">
        <v>118</v>
      </c>
      <c r="F30" s="2" t="s">
        <v>118</v>
      </c>
      <c r="G30" s="2" t="s">
        <v>119</v>
      </c>
      <c r="H30" s="2" t="s">
        <v>120</v>
      </c>
      <c r="I30" s="2"/>
      <c r="J30" s="2" t="s">
        <v>121</v>
      </c>
      <c r="K30" s="2"/>
      <c r="L30" s="2"/>
      <c r="M30" s="3">
        <v>538</v>
      </c>
    </row>
    <row r="31" spans="1:13" x14ac:dyDescent="0.35">
      <c r="A31" s="2" t="s">
        <v>58</v>
      </c>
      <c r="B31" s="2" t="s">
        <v>59</v>
      </c>
      <c r="C31" s="2" t="s">
        <v>19</v>
      </c>
      <c r="D31" s="2" t="s">
        <v>61</v>
      </c>
      <c r="E31" s="2" t="s">
        <v>122</v>
      </c>
      <c r="F31" s="2" t="s">
        <v>122</v>
      </c>
      <c r="G31" s="2" t="s">
        <v>123</v>
      </c>
      <c r="H31" s="2" t="s">
        <v>124</v>
      </c>
      <c r="I31" s="2"/>
      <c r="J31" s="2" t="s">
        <v>125</v>
      </c>
      <c r="K31" s="2"/>
      <c r="L31" s="2"/>
      <c r="M31" s="3">
        <v>146</v>
      </c>
    </row>
    <row r="32" spans="1:13" x14ac:dyDescent="0.35">
      <c r="A32" s="2" t="s">
        <v>58</v>
      </c>
      <c r="B32" s="2" t="s">
        <v>59</v>
      </c>
      <c r="C32" s="2" t="s">
        <v>126</v>
      </c>
      <c r="D32" s="2" t="s">
        <v>22</v>
      </c>
      <c r="E32" s="2" t="s">
        <v>127</v>
      </c>
      <c r="F32" s="2" t="s">
        <v>127</v>
      </c>
      <c r="G32" s="2" t="s">
        <v>128</v>
      </c>
      <c r="H32" s="2" t="s">
        <v>129</v>
      </c>
      <c r="I32" s="2"/>
      <c r="J32" s="2" t="s">
        <v>130</v>
      </c>
      <c r="K32" s="2"/>
      <c r="L32" s="2"/>
      <c r="M32" s="3">
        <v>532</v>
      </c>
    </row>
    <row r="33" spans="1:13" x14ac:dyDescent="0.35">
      <c r="A33" s="2" t="s">
        <v>58</v>
      </c>
      <c r="B33" s="2" t="s">
        <v>59</v>
      </c>
      <c r="C33" s="2" t="s">
        <v>131</v>
      </c>
      <c r="D33" s="2" t="s">
        <v>22</v>
      </c>
      <c r="E33" s="2" t="s">
        <v>132</v>
      </c>
      <c r="F33" s="2" t="s">
        <v>132</v>
      </c>
      <c r="G33" s="2" t="s">
        <v>133</v>
      </c>
      <c r="H33" s="2" t="s">
        <v>134</v>
      </c>
      <c r="I33" s="2"/>
      <c r="J33" s="2" t="s">
        <v>135</v>
      </c>
      <c r="K33" s="2"/>
      <c r="L33" s="2"/>
      <c r="M33" s="3">
        <v>46</v>
      </c>
    </row>
    <row r="34" spans="1:13" x14ac:dyDescent="0.35">
      <c r="A34" s="2" t="s">
        <v>58</v>
      </c>
      <c r="B34" s="2" t="s">
        <v>59</v>
      </c>
      <c r="C34" s="2" t="s">
        <v>136</v>
      </c>
      <c r="D34" s="2" t="s">
        <v>61</v>
      </c>
      <c r="E34" s="2" t="s">
        <v>137</v>
      </c>
      <c r="F34" s="2" t="s">
        <v>137</v>
      </c>
      <c r="G34" s="2" t="s">
        <v>138</v>
      </c>
      <c r="H34" s="2" t="s">
        <v>139</v>
      </c>
      <c r="I34" s="2"/>
      <c r="J34" s="2" t="s">
        <v>136</v>
      </c>
      <c r="K34" s="2"/>
      <c r="L34" s="2"/>
      <c r="M34" s="3">
        <v>12</v>
      </c>
    </row>
    <row r="35" spans="1:13" x14ac:dyDescent="0.35">
      <c r="A35" s="2" t="s">
        <v>58</v>
      </c>
      <c r="B35" s="2" t="s">
        <v>59</v>
      </c>
      <c r="C35" s="2" t="s">
        <v>140</v>
      </c>
      <c r="D35" s="2" t="s">
        <v>61</v>
      </c>
      <c r="E35" s="2" t="s">
        <v>141</v>
      </c>
      <c r="F35" s="2" t="s">
        <v>141</v>
      </c>
      <c r="G35" s="2" t="s">
        <v>142</v>
      </c>
      <c r="H35" s="2" t="s">
        <v>142</v>
      </c>
      <c r="I35" s="2"/>
      <c r="J35" s="2" t="s">
        <v>140</v>
      </c>
      <c r="K35" s="2"/>
      <c r="L35" s="2"/>
      <c r="M35" s="3">
        <v>4</v>
      </c>
    </row>
    <row r="36" spans="1:13" x14ac:dyDescent="0.35">
      <c r="A36" s="2" t="s">
        <v>58</v>
      </c>
      <c r="B36" s="2" t="s">
        <v>59</v>
      </c>
      <c r="C36" s="2" t="s">
        <v>143</v>
      </c>
      <c r="D36" s="2" t="s">
        <v>61</v>
      </c>
      <c r="E36" s="2" t="s">
        <v>144</v>
      </c>
      <c r="F36" s="2" t="s">
        <v>144</v>
      </c>
      <c r="G36" s="2" t="s">
        <v>145</v>
      </c>
      <c r="H36" s="2" t="s">
        <v>145</v>
      </c>
      <c r="I36" s="2"/>
      <c r="J36" s="2" t="s">
        <v>143</v>
      </c>
      <c r="K36" s="2"/>
      <c r="L36" s="2"/>
      <c r="M36" s="3">
        <v>12</v>
      </c>
    </row>
    <row r="37" spans="1:13" x14ac:dyDescent="0.35">
      <c r="A37" s="2" t="s">
        <v>58</v>
      </c>
      <c r="B37" s="2" t="s">
        <v>59</v>
      </c>
      <c r="C37" s="2" t="s">
        <v>146</v>
      </c>
      <c r="D37" s="2" t="s">
        <v>61</v>
      </c>
      <c r="E37" s="2" t="s">
        <v>147</v>
      </c>
      <c r="F37" s="2" t="s">
        <v>147</v>
      </c>
      <c r="G37" s="2" t="s">
        <v>148</v>
      </c>
      <c r="H37" s="2" t="s">
        <v>148</v>
      </c>
      <c r="I37" s="2"/>
      <c r="J37" s="2" t="s">
        <v>146</v>
      </c>
      <c r="K37" s="2"/>
      <c r="L37" s="2"/>
      <c r="M37" s="3">
        <v>14</v>
      </c>
    </row>
    <row r="38" spans="1:13" x14ac:dyDescent="0.35">
      <c r="A38" s="2" t="s">
        <v>58</v>
      </c>
      <c r="B38" s="2" t="s">
        <v>59</v>
      </c>
      <c r="C38" s="2" t="s">
        <v>149</v>
      </c>
      <c r="D38" s="2" t="s">
        <v>61</v>
      </c>
      <c r="E38" s="2" t="s">
        <v>150</v>
      </c>
      <c r="F38" s="2" t="s">
        <v>150</v>
      </c>
      <c r="G38" s="2" t="s">
        <v>151</v>
      </c>
      <c r="H38" s="2" t="s">
        <v>151</v>
      </c>
      <c r="I38" s="2"/>
      <c r="J38" s="2" t="s">
        <v>149</v>
      </c>
      <c r="K38" s="2"/>
      <c r="L38" s="2"/>
      <c r="M38" s="3">
        <v>15</v>
      </c>
    </row>
    <row r="39" spans="1:13" x14ac:dyDescent="0.35">
      <c r="A39" s="2" t="s">
        <v>58</v>
      </c>
      <c r="B39" s="2" t="s">
        <v>59</v>
      </c>
      <c r="C39" s="2" t="s">
        <v>152</v>
      </c>
      <c r="D39" s="2" t="s">
        <v>22</v>
      </c>
      <c r="E39" s="2" t="s">
        <v>153</v>
      </c>
      <c r="F39" s="2" t="s">
        <v>153</v>
      </c>
      <c r="G39" s="2" t="s">
        <v>154</v>
      </c>
      <c r="H39" s="2" t="s">
        <v>155</v>
      </c>
      <c r="I39" s="2"/>
      <c r="J39" s="2" t="s">
        <v>156</v>
      </c>
      <c r="K39" s="2"/>
      <c r="L39" s="2"/>
      <c r="M39" s="3">
        <v>796</v>
      </c>
    </row>
    <row r="40" spans="1:13" x14ac:dyDescent="0.35">
      <c r="A40" s="2" t="s">
        <v>58</v>
      </c>
      <c r="B40" s="2" t="s">
        <v>59</v>
      </c>
      <c r="C40" s="2" t="s">
        <v>157</v>
      </c>
      <c r="D40" s="2" t="s">
        <v>61</v>
      </c>
      <c r="E40" s="2" t="s">
        <v>158</v>
      </c>
      <c r="F40" s="2" t="s">
        <v>158</v>
      </c>
      <c r="G40" s="2" t="s">
        <v>159</v>
      </c>
      <c r="H40" s="2" t="s">
        <v>160</v>
      </c>
      <c r="I40" s="2"/>
      <c r="J40" s="2" t="s">
        <v>161</v>
      </c>
      <c r="K40" s="2"/>
      <c r="L40" s="2"/>
      <c r="M40" s="3">
        <v>56</v>
      </c>
    </row>
    <row r="41" spans="1:13" x14ac:dyDescent="0.35">
      <c r="A41" s="2" t="s">
        <v>58</v>
      </c>
      <c r="B41" s="2" t="s">
        <v>59</v>
      </c>
      <c r="C41" s="2" t="s">
        <v>162</v>
      </c>
      <c r="D41" s="2" t="s">
        <v>61</v>
      </c>
      <c r="E41" s="2" t="s">
        <v>163</v>
      </c>
      <c r="F41" s="2" t="s">
        <v>163</v>
      </c>
      <c r="G41" s="2" t="s">
        <v>164</v>
      </c>
      <c r="H41" s="2" t="s">
        <v>164</v>
      </c>
      <c r="I41" s="2"/>
      <c r="J41" s="2" t="s">
        <v>162</v>
      </c>
      <c r="K41" s="2"/>
      <c r="L41" s="2"/>
      <c r="M41" s="3">
        <v>15</v>
      </c>
    </row>
    <row r="42" spans="1:13" x14ac:dyDescent="0.35">
      <c r="A42" s="2" t="s">
        <v>58</v>
      </c>
      <c r="B42" s="2" t="s">
        <v>59</v>
      </c>
      <c r="C42" s="2" t="s">
        <v>165</v>
      </c>
      <c r="D42" s="2" t="s">
        <v>61</v>
      </c>
      <c r="E42" s="2" t="s">
        <v>166</v>
      </c>
      <c r="F42" s="2" t="s">
        <v>166</v>
      </c>
      <c r="G42" s="2" t="s">
        <v>167</v>
      </c>
      <c r="H42" s="2" t="s">
        <v>167</v>
      </c>
      <c r="I42" s="2"/>
      <c r="J42" s="2" t="s">
        <v>165</v>
      </c>
      <c r="K42" s="2"/>
      <c r="L42" s="2"/>
      <c r="M42" s="3">
        <v>16</v>
      </c>
    </row>
    <row r="43" spans="1:13" x14ac:dyDescent="0.35">
      <c r="A43" s="2" t="s">
        <v>58</v>
      </c>
      <c r="B43" s="2" t="s">
        <v>59</v>
      </c>
      <c r="C43" s="2" t="s">
        <v>168</v>
      </c>
      <c r="D43" s="2" t="s">
        <v>22</v>
      </c>
      <c r="E43" s="2" t="s">
        <v>169</v>
      </c>
      <c r="F43" s="2" t="s">
        <v>169</v>
      </c>
      <c r="G43" s="2" t="s">
        <v>170</v>
      </c>
      <c r="H43" s="2" t="s">
        <v>171</v>
      </c>
      <c r="I43" s="2"/>
      <c r="J43" s="2" t="s">
        <v>172</v>
      </c>
      <c r="K43" s="2"/>
      <c r="L43" s="2"/>
      <c r="M43" s="3">
        <v>47</v>
      </c>
    </row>
    <row r="44" spans="1:13" x14ac:dyDescent="0.35">
      <c r="A44" s="2" t="s">
        <v>58</v>
      </c>
      <c r="B44" s="2" t="s">
        <v>59</v>
      </c>
      <c r="C44" s="2" t="s">
        <v>173</v>
      </c>
      <c r="D44" s="2" t="s">
        <v>22</v>
      </c>
      <c r="E44" s="2" t="s">
        <v>174</v>
      </c>
      <c r="F44" s="2" t="s">
        <v>174</v>
      </c>
      <c r="G44" s="2" t="s">
        <v>154</v>
      </c>
      <c r="H44" s="2" t="s">
        <v>175</v>
      </c>
      <c r="I44" s="2"/>
      <c r="J44" s="2" t="s">
        <v>156</v>
      </c>
      <c r="K44" s="2"/>
      <c r="L44" s="2"/>
      <c r="M44" s="3">
        <v>1</v>
      </c>
    </row>
    <row r="45" spans="1:13" x14ac:dyDescent="0.35">
      <c r="A45" s="2" t="s">
        <v>58</v>
      </c>
      <c r="B45" s="2" t="s">
        <v>59</v>
      </c>
      <c r="C45" s="2" t="s">
        <v>176</v>
      </c>
      <c r="D45" s="2" t="s">
        <v>61</v>
      </c>
      <c r="E45" s="2" t="s">
        <v>177</v>
      </c>
      <c r="F45" s="2" t="s">
        <v>177</v>
      </c>
      <c r="G45" s="2" t="s">
        <v>178</v>
      </c>
      <c r="H45" s="2" t="s">
        <v>179</v>
      </c>
      <c r="I45" s="2"/>
      <c r="J45" s="2" t="s">
        <v>176</v>
      </c>
      <c r="K45" s="2"/>
      <c r="L45" s="2"/>
      <c r="M45" s="3">
        <v>10</v>
      </c>
    </row>
    <row r="46" spans="1:13" x14ac:dyDescent="0.35">
      <c r="A46" s="2" t="s">
        <v>58</v>
      </c>
      <c r="B46" s="2" t="s">
        <v>59</v>
      </c>
      <c r="C46" s="2" t="s">
        <v>180</v>
      </c>
      <c r="D46" s="2" t="s">
        <v>22</v>
      </c>
      <c r="E46" s="2" t="s">
        <v>181</v>
      </c>
      <c r="F46" s="2" t="s">
        <v>181</v>
      </c>
      <c r="G46" s="2" t="s">
        <v>182</v>
      </c>
      <c r="H46" s="2" t="s">
        <v>183</v>
      </c>
      <c r="I46" s="2"/>
      <c r="J46" s="2" t="s">
        <v>184</v>
      </c>
      <c r="K46" s="2"/>
      <c r="L46" s="2"/>
      <c r="M46" s="3">
        <v>48</v>
      </c>
    </row>
    <row r="47" spans="1:13" x14ac:dyDescent="0.35">
      <c r="A47" s="2" t="s">
        <v>58</v>
      </c>
      <c r="B47" s="2" t="s">
        <v>59</v>
      </c>
      <c r="C47" s="2" t="s">
        <v>185</v>
      </c>
      <c r="D47" s="2" t="s">
        <v>61</v>
      </c>
      <c r="E47" s="2" t="s">
        <v>186</v>
      </c>
      <c r="F47" s="2" t="s">
        <v>186</v>
      </c>
      <c r="G47" s="2" t="s">
        <v>187</v>
      </c>
      <c r="H47" s="2" t="s">
        <v>187</v>
      </c>
      <c r="I47" s="2"/>
      <c r="J47" s="2" t="s">
        <v>185</v>
      </c>
      <c r="K47" s="2"/>
      <c r="L47" s="2"/>
      <c r="M47" s="3">
        <v>18</v>
      </c>
    </row>
    <row r="48" spans="1:13" x14ac:dyDescent="0.35">
      <c r="A48" s="2" t="s">
        <v>58</v>
      </c>
      <c r="B48" s="2" t="s">
        <v>59</v>
      </c>
      <c r="C48" s="2" t="s">
        <v>188</v>
      </c>
      <c r="D48" s="2" t="s">
        <v>61</v>
      </c>
      <c r="E48" s="2" t="s">
        <v>189</v>
      </c>
      <c r="F48" s="2" t="s">
        <v>189</v>
      </c>
      <c r="G48" s="2" t="s">
        <v>190</v>
      </c>
      <c r="H48" s="2" t="s">
        <v>191</v>
      </c>
      <c r="I48" s="2"/>
      <c r="J48" s="2" t="s">
        <v>188</v>
      </c>
      <c r="K48" s="2"/>
      <c r="L48" s="2"/>
      <c r="M48" s="3">
        <v>9</v>
      </c>
    </row>
    <row r="49" spans="1:13" x14ac:dyDescent="0.35">
      <c r="A49" s="2" t="s">
        <v>58</v>
      </c>
      <c r="B49" s="2" t="s">
        <v>59</v>
      </c>
      <c r="C49" s="2" t="s">
        <v>192</v>
      </c>
      <c r="D49" s="2" t="s">
        <v>22</v>
      </c>
      <c r="E49" s="2" t="s">
        <v>193</v>
      </c>
      <c r="F49" s="2" t="s">
        <v>193</v>
      </c>
      <c r="G49" s="2" t="s">
        <v>194</v>
      </c>
      <c r="H49" s="2" t="s">
        <v>195</v>
      </c>
      <c r="I49" s="2"/>
      <c r="J49" s="2" t="s">
        <v>196</v>
      </c>
      <c r="K49" s="2"/>
      <c r="L49" s="2"/>
      <c r="M49" s="3">
        <v>24</v>
      </c>
    </row>
    <row r="50" spans="1:13" x14ac:dyDescent="0.35">
      <c r="A50" s="2" t="s">
        <v>58</v>
      </c>
      <c r="B50" s="2" t="s">
        <v>59</v>
      </c>
      <c r="C50" s="2" t="s">
        <v>197</v>
      </c>
      <c r="D50" s="2" t="s">
        <v>22</v>
      </c>
      <c r="E50" s="2" t="s">
        <v>198</v>
      </c>
      <c r="F50" s="2" t="s">
        <v>198</v>
      </c>
      <c r="G50" s="2" t="s">
        <v>199</v>
      </c>
      <c r="H50" s="2" t="s">
        <v>200</v>
      </c>
      <c r="I50" s="2"/>
      <c r="J50" s="2" t="s">
        <v>201</v>
      </c>
      <c r="K50" s="2"/>
      <c r="L50" s="2"/>
      <c r="M50" s="3">
        <v>56</v>
      </c>
    </row>
    <row r="51" spans="1:13" x14ac:dyDescent="0.35">
      <c r="A51" s="2" t="s">
        <v>58</v>
      </c>
      <c r="B51" s="2" t="s">
        <v>59</v>
      </c>
      <c r="C51" s="2" t="s">
        <v>202</v>
      </c>
      <c r="D51" s="2" t="s">
        <v>61</v>
      </c>
      <c r="E51" s="2" t="s">
        <v>203</v>
      </c>
      <c r="F51" s="2" t="s">
        <v>203</v>
      </c>
      <c r="G51" s="2" t="s">
        <v>204</v>
      </c>
      <c r="H51" s="2" t="s">
        <v>205</v>
      </c>
      <c r="I51" s="2"/>
      <c r="J51" s="2" t="s">
        <v>206</v>
      </c>
      <c r="K51" s="2"/>
      <c r="L51" s="2"/>
      <c r="M51" s="3">
        <v>287</v>
      </c>
    </row>
    <row r="52" spans="1:13" x14ac:dyDescent="0.35">
      <c r="A52" s="2" t="s">
        <v>58</v>
      </c>
      <c r="B52" s="2" t="s">
        <v>59</v>
      </c>
      <c r="C52" s="2" t="s">
        <v>207</v>
      </c>
      <c r="D52" s="2" t="s">
        <v>61</v>
      </c>
      <c r="E52" s="2" t="s">
        <v>208</v>
      </c>
      <c r="F52" s="2" t="s">
        <v>208</v>
      </c>
      <c r="G52" s="2" t="s">
        <v>209</v>
      </c>
      <c r="H52" s="2" t="s">
        <v>210</v>
      </c>
      <c r="I52" s="2"/>
      <c r="J52" s="2" t="s">
        <v>211</v>
      </c>
      <c r="K52" s="2"/>
      <c r="L52" s="2"/>
      <c r="M52" s="3">
        <v>25</v>
      </c>
    </row>
    <row r="53" spans="1:13" x14ac:dyDescent="0.35">
      <c r="A53" s="2" t="s">
        <v>58</v>
      </c>
      <c r="B53" s="2" t="s">
        <v>59</v>
      </c>
      <c r="C53" s="2" t="s">
        <v>212</v>
      </c>
      <c r="D53" s="2" t="s">
        <v>61</v>
      </c>
      <c r="E53" s="2" t="s">
        <v>213</v>
      </c>
      <c r="F53" s="2" t="s">
        <v>213</v>
      </c>
      <c r="G53" s="2" t="s">
        <v>214</v>
      </c>
      <c r="H53" s="2" t="s">
        <v>214</v>
      </c>
      <c r="I53" s="2"/>
      <c r="J53" s="2" t="s">
        <v>212</v>
      </c>
      <c r="K53" s="2"/>
      <c r="L53" s="2"/>
      <c r="M53" s="3">
        <v>12</v>
      </c>
    </row>
    <row r="54" spans="1:13" x14ac:dyDescent="0.35">
      <c r="A54" s="2" t="s">
        <v>58</v>
      </c>
      <c r="B54" s="2" t="s">
        <v>59</v>
      </c>
      <c r="C54" s="2" t="s">
        <v>215</v>
      </c>
      <c r="D54" s="2" t="s">
        <v>61</v>
      </c>
      <c r="E54" s="2" t="s">
        <v>216</v>
      </c>
      <c r="F54" s="2" t="s">
        <v>216</v>
      </c>
      <c r="G54" s="2" t="s">
        <v>217</v>
      </c>
      <c r="H54" s="2" t="s">
        <v>217</v>
      </c>
      <c r="I54" s="2"/>
      <c r="J54" s="2" t="s">
        <v>215</v>
      </c>
      <c r="K54" s="2"/>
      <c r="L54" s="2"/>
      <c r="M54" s="3">
        <v>16</v>
      </c>
    </row>
    <row r="55" spans="1:13" x14ac:dyDescent="0.35">
      <c r="A55" s="2" t="s">
        <v>58</v>
      </c>
      <c r="B55" s="2" t="s">
        <v>59</v>
      </c>
      <c r="C55" s="2" t="s">
        <v>218</v>
      </c>
      <c r="D55" s="2" t="s">
        <v>61</v>
      </c>
      <c r="E55" s="2" t="s">
        <v>219</v>
      </c>
      <c r="F55" s="2" t="s">
        <v>219</v>
      </c>
      <c r="G55" s="2" t="s">
        <v>220</v>
      </c>
      <c r="H55" s="2" t="s">
        <v>220</v>
      </c>
      <c r="I55" s="2"/>
      <c r="J55" s="2" t="s">
        <v>218</v>
      </c>
      <c r="K55" s="2"/>
      <c r="L55" s="2"/>
      <c r="M55" s="3">
        <v>15</v>
      </c>
    </row>
    <row r="56" spans="1:13" x14ac:dyDescent="0.35">
      <c r="A56" s="2" t="s">
        <v>58</v>
      </c>
      <c r="B56" s="2" t="s">
        <v>59</v>
      </c>
      <c r="C56" s="2" t="s">
        <v>221</v>
      </c>
      <c r="D56" s="2" t="s">
        <v>61</v>
      </c>
      <c r="E56" s="2" t="s">
        <v>222</v>
      </c>
      <c r="F56" s="2" t="s">
        <v>222</v>
      </c>
      <c r="G56" s="2" t="s">
        <v>223</v>
      </c>
      <c r="H56" s="2" t="s">
        <v>223</v>
      </c>
      <c r="I56" s="2"/>
      <c r="J56" s="2" t="s">
        <v>221</v>
      </c>
      <c r="K56" s="2"/>
      <c r="L56" s="2"/>
      <c r="M56" s="3">
        <v>14</v>
      </c>
    </row>
    <row r="57" spans="1:13" x14ac:dyDescent="0.35">
      <c r="A57" s="2" t="s">
        <v>58</v>
      </c>
      <c r="B57" s="2" t="s">
        <v>59</v>
      </c>
      <c r="C57" s="2" t="s">
        <v>224</v>
      </c>
      <c r="D57" s="2" t="s">
        <v>61</v>
      </c>
      <c r="E57" s="2" t="s">
        <v>225</v>
      </c>
      <c r="F57" s="2" t="s">
        <v>225</v>
      </c>
      <c r="G57" s="2" t="s">
        <v>226</v>
      </c>
      <c r="H57" s="2" t="s">
        <v>227</v>
      </c>
      <c r="I57" s="2"/>
      <c r="J57" s="2" t="s">
        <v>228</v>
      </c>
      <c r="K57" s="2"/>
      <c r="L57" s="2"/>
      <c r="M57" s="3">
        <v>7681</v>
      </c>
    </row>
    <row r="58" spans="1:13" x14ac:dyDescent="0.35">
      <c r="A58" s="2" t="s">
        <v>58</v>
      </c>
      <c r="B58" s="2" t="s">
        <v>59</v>
      </c>
      <c r="C58" s="2" t="s">
        <v>229</v>
      </c>
      <c r="D58" s="2" t="s">
        <v>61</v>
      </c>
      <c r="E58" s="2" t="s">
        <v>230</v>
      </c>
      <c r="F58" s="2" t="s">
        <v>230</v>
      </c>
      <c r="G58" s="2" t="s">
        <v>231</v>
      </c>
      <c r="H58" s="2" t="s">
        <v>231</v>
      </c>
      <c r="I58" s="2"/>
      <c r="J58" s="2" t="s">
        <v>229</v>
      </c>
      <c r="K58" s="2"/>
      <c r="L58" s="2"/>
      <c r="M58" s="3">
        <v>10</v>
      </c>
    </row>
    <row r="59" spans="1:13" x14ac:dyDescent="0.35">
      <c r="A59" s="2" t="s">
        <v>58</v>
      </c>
      <c r="B59" s="2" t="s">
        <v>59</v>
      </c>
      <c r="C59" s="2" t="s">
        <v>232</v>
      </c>
      <c r="D59" s="2" t="s">
        <v>61</v>
      </c>
      <c r="E59" s="2" t="s">
        <v>233</v>
      </c>
      <c r="F59" s="2" t="s">
        <v>233</v>
      </c>
      <c r="G59" s="2" t="s">
        <v>234</v>
      </c>
      <c r="H59" s="2" t="s">
        <v>235</v>
      </c>
      <c r="I59" s="2"/>
      <c r="J59" s="2" t="s">
        <v>236</v>
      </c>
      <c r="K59" s="2"/>
      <c r="L59" s="2"/>
      <c r="M59" s="3">
        <v>10819</v>
      </c>
    </row>
    <row r="60" spans="1:13" x14ac:dyDescent="0.35">
      <c r="A60" s="2" t="s">
        <v>58</v>
      </c>
      <c r="B60" s="2" t="s">
        <v>59</v>
      </c>
      <c r="C60" s="2" t="s">
        <v>237</v>
      </c>
      <c r="D60" s="2" t="s">
        <v>61</v>
      </c>
      <c r="E60" s="2" t="s">
        <v>238</v>
      </c>
      <c r="F60" s="2" t="s">
        <v>238</v>
      </c>
      <c r="G60" s="2" t="s">
        <v>239</v>
      </c>
      <c r="H60" s="2" t="s">
        <v>239</v>
      </c>
      <c r="I60" s="2"/>
      <c r="J60" s="2" t="s">
        <v>237</v>
      </c>
      <c r="K60" s="2"/>
      <c r="L60" s="2"/>
      <c r="M60" s="3">
        <v>17</v>
      </c>
    </row>
    <row r="61" spans="1:13" x14ac:dyDescent="0.35">
      <c r="A61" s="2" t="s">
        <v>58</v>
      </c>
      <c r="B61" s="2" t="s">
        <v>59</v>
      </c>
      <c r="C61" s="2" t="s">
        <v>240</v>
      </c>
      <c r="D61" s="2" t="s">
        <v>61</v>
      </c>
      <c r="E61" s="2" t="s">
        <v>241</v>
      </c>
      <c r="F61" s="2" t="s">
        <v>241</v>
      </c>
      <c r="G61" s="2" t="s">
        <v>242</v>
      </c>
      <c r="H61" s="2" t="s">
        <v>242</v>
      </c>
      <c r="I61" s="2"/>
      <c r="J61" s="2" t="s">
        <v>240</v>
      </c>
      <c r="K61" s="2"/>
      <c r="L61" s="2"/>
      <c r="M61" s="3">
        <v>17</v>
      </c>
    </row>
    <row r="62" spans="1:13" x14ac:dyDescent="0.35">
      <c r="A62" s="2" t="s">
        <v>58</v>
      </c>
      <c r="B62" s="2" t="s">
        <v>59</v>
      </c>
      <c r="C62" s="2" t="s">
        <v>243</v>
      </c>
      <c r="D62" s="2" t="s">
        <v>22</v>
      </c>
      <c r="E62" s="2" t="s">
        <v>244</v>
      </c>
      <c r="F62" s="2" t="s">
        <v>244</v>
      </c>
      <c r="G62" s="2" t="s">
        <v>245</v>
      </c>
      <c r="H62" s="2" t="s">
        <v>246</v>
      </c>
      <c r="I62" s="2"/>
      <c r="J62" s="2" t="s">
        <v>247</v>
      </c>
      <c r="K62" s="2"/>
      <c r="L62" s="2"/>
      <c r="M62" s="3">
        <v>1924</v>
      </c>
    </row>
    <row r="63" spans="1:13" x14ac:dyDescent="0.35">
      <c r="A63" s="2" t="s">
        <v>58</v>
      </c>
      <c r="B63" s="2" t="s">
        <v>59</v>
      </c>
      <c r="C63" s="2" t="s">
        <v>248</v>
      </c>
      <c r="D63" s="2" t="s">
        <v>61</v>
      </c>
      <c r="E63" s="2" t="s">
        <v>249</v>
      </c>
      <c r="F63" s="2" t="s">
        <v>249</v>
      </c>
      <c r="G63" s="2" t="s">
        <v>250</v>
      </c>
      <c r="H63" s="2" t="s">
        <v>251</v>
      </c>
      <c r="I63" s="2"/>
      <c r="J63" s="2" t="s">
        <v>252</v>
      </c>
      <c r="K63" s="2"/>
      <c r="L63" s="2"/>
      <c r="M63" s="3">
        <v>477</v>
      </c>
    </row>
    <row r="64" spans="1:13" x14ac:dyDescent="0.35">
      <c r="A64" s="2" t="s">
        <v>58</v>
      </c>
      <c r="B64" s="2" t="s">
        <v>59</v>
      </c>
      <c r="C64" s="2" t="s">
        <v>253</v>
      </c>
      <c r="D64" s="2" t="s">
        <v>61</v>
      </c>
      <c r="E64" s="2" t="s">
        <v>254</v>
      </c>
      <c r="F64" s="2" t="s">
        <v>254</v>
      </c>
      <c r="G64" s="2" t="s">
        <v>255</v>
      </c>
      <c r="H64" s="2" t="s">
        <v>255</v>
      </c>
      <c r="I64" s="2"/>
      <c r="J64" s="2" t="s">
        <v>253</v>
      </c>
      <c r="K64" s="2"/>
      <c r="L64" s="2"/>
      <c r="M64" s="3">
        <v>13</v>
      </c>
    </row>
    <row r="65" spans="1:13" x14ac:dyDescent="0.35">
      <c r="A65" s="2" t="s">
        <v>58</v>
      </c>
      <c r="B65" s="2" t="s">
        <v>59</v>
      </c>
      <c r="C65" s="2" t="s">
        <v>256</v>
      </c>
      <c r="D65" s="2" t="s">
        <v>61</v>
      </c>
      <c r="E65" s="2" t="s">
        <v>257</v>
      </c>
      <c r="F65" s="2" t="s">
        <v>257</v>
      </c>
      <c r="G65" s="2" t="s">
        <v>258</v>
      </c>
      <c r="H65" s="2" t="s">
        <v>258</v>
      </c>
      <c r="I65" s="2"/>
      <c r="J65" s="2" t="s">
        <v>256</v>
      </c>
      <c r="K65" s="2"/>
      <c r="L65" s="2"/>
      <c r="M65" s="3">
        <v>18</v>
      </c>
    </row>
    <row r="66" spans="1:13" x14ac:dyDescent="0.35">
      <c r="A66" s="2" t="s">
        <v>58</v>
      </c>
      <c r="B66" s="2" t="s">
        <v>59</v>
      </c>
      <c r="C66" s="2" t="s">
        <v>259</v>
      </c>
      <c r="D66" s="2" t="s">
        <v>61</v>
      </c>
      <c r="E66" s="2" t="s">
        <v>260</v>
      </c>
      <c r="F66" s="2" t="s">
        <v>260</v>
      </c>
      <c r="G66" s="2" t="s">
        <v>261</v>
      </c>
      <c r="H66" s="2" t="s">
        <v>261</v>
      </c>
      <c r="I66" s="2"/>
      <c r="J66" s="2" t="s">
        <v>259</v>
      </c>
      <c r="K66" s="2"/>
      <c r="L66" s="2"/>
      <c r="M66" s="3">
        <v>1</v>
      </c>
    </row>
    <row r="67" spans="1:13" x14ac:dyDescent="0.35">
      <c r="A67" s="2" t="s">
        <v>58</v>
      </c>
      <c r="B67" s="2" t="s">
        <v>59</v>
      </c>
      <c r="C67" s="2" t="s">
        <v>262</v>
      </c>
      <c r="D67" s="2" t="s">
        <v>22</v>
      </c>
      <c r="E67" s="2" t="s">
        <v>263</v>
      </c>
      <c r="F67" s="2" t="s">
        <v>263</v>
      </c>
      <c r="G67" s="2" t="s">
        <v>264</v>
      </c>
      <c r="H67" s="2" t="s">
        <v>265</v>
      </c>
      <c r="I67" s="2"/>
      <c r="J67" s="2" t="s">
        <v>266</v>
      </c>
      <c r="K67" s="2"/>
      <c r="L67" s="2"/>
      <c r="M67" s="3">
        <v>88</v>
      </c>
    </row>
    <row r="68" spans="1:13" x14ac:dyDescent="0.35">
      <c r="A68" s="2" t="s">
        <v>58</v>
      </c>
      <c r="B68" s="2" t="s">
        <v>59</v>
      </c>
      <c r="C68" s="2" t="s">
        <v>267</v>
      </c>
      <c r="D68" s="2" t="s">
        <v>61</v>
      </c>
      <c r="E68" s="2" t="s">
        <v>268</v>
      </c>
      <c r="F68" s="2" t="s">
        <v>268</v>
      </c>
      <c r="G68" s="2" t="s">
        <v>269</v>
      </c>
      <c r="H68" s="2" t="s">
        <v>270</v>
      </c>
      <c r="I68" s="2"/>
      <c r="J68" s="2" t="s">
        <v>267</v>
      </c>
      <c r="K68" s="2"/>
      <c r="L68" s="2"/>
      <c r="M68" s="3">
        <v>4</v>
      </c>
    </row>
    <row r="69" spans="1:13" x14ac:dyDescent="0.35">
      <c r="A69" s="2" t="s">
        <v>58</v>
      </c>
      <c r="B69" s="2" t="s">
        <v>59</v>
      </c>
      <c r="C69" s="2" t="s">
        <v>271</v>
      </c>
      <c r="D69" s="2" t="s">
        <v>61</v>
      </c>
      <c r="E69" s="2" t="s">
        <v>272</v>
      </c>
      <c r="F69" s="2" t="s">
        <v>272</v>
      </c>
      <c r="G69" s="2" t="s">
        <v>273</v>
      </c>
      <c r="H69" s="2" t="s">
        <v>273</v>
      </c>
      <c r="I69" s="2"/>
      <c r="J69" s="2" t="s">
        <v>271</v>
      </c>
      <c r="K69" s="2"/>
      <c r="L69" s="2"/>
      <c r="M69" s="3">
        <v>8</v>
      </c>
    </row>
    <row r="70" spans="1:13" x14ac:dyDescent="0.35">
      <c r="A70" s="2" t="s">
        <v>58</v>
      </c>
      <c r="B70" s="2" t="s">
        <v>59</v>
      </c>
      <c r="C70" s="2" t="s">
        <v>274</v>
      </c>
      <c r="D70" s="2" t="s">
        <v>61</v>
      </c>
      <c r="E70" s="2" t="s">
        <v>275</v>
      </c>
      <c r="F70" s="2" t="s">
        <v>275</v>
      </c>
      <c r="G70" s="2" t="s">
        <v>276</v>
      </c>
      <c r="H70" s="2" t="s">
        <v>277</v>
      </c>
      <c r="I70" s="2"/>
      <c r="J70" s="2" t="s">
        <v>274</v>
      </c>
      <c r="K70" s="2"/>
      <c r="L70" s="2"/>
      <c r="M70" s="3">
        <v>11</v>
      </c>
    </row>
    <row r="71" spans="1:13" x14ac:dyDescent="0.35">
      <c r="A71" s="2" t="s">
        <v>58</v>
      </c>
      <c r="B71" s="2" t="s">
        <v>59</v>
      </c>
      <c r="C71" s="2" t="s">
        <v>278</v>
      </c>
      <c r="D71" s="2" t="s">
        <v>22</v>
      </c>
      <c r="E71" s="2" t="s">
        <v>279</v>
      </c>
      <c r="F71" s="2" t="s">
        <v>279</v>
      </c>
      <c r="G71" s="2" t="s">
        <v>280</v>
      </c>
      <c r="H71" s="2" t="s">
        <v>281</v>
      </c>
      <c r="I71" s="2"/>
      <c r="J71" s="2" t="s">
        <v>282</v>
      </c>
      <c r="K71" s="2"/>
      <c r="L71" s="2"/>
      <c r="M71" s="3">
        <v>40</v>
      </c>
    </row>
    <row r="72" spans="1:13" x14ac:dyDescent="0.35">
      <c r="A72" s="2" t="s">
        <v>58</v>
      </c>
      <c r="B72" s="2" t="s">
        <v>59</v>
      </c>
      <c r="C72" s="2" t="s">
        <v>283</v>
      </c>
      <c r="D72" s="2" t="s">
        <v>22</v>
      </c>
      <c r="E72" s="2" t="s">
        <v>284</v>
      </c>
      <c r="F72" s="2" t="s">
        <v>284</v>
      </c>
      <c r="G72" s="2" t="s">
        <v>285</v>
      </c>
      <c r="H72" s="2" t="s">
        <v>286</v>
      </c>
      <c r="I72" s="2"/>
      <c r="J72" s="2" t="s">
        <v>287</v>
      </c>
      <c r="K72" s="2"/>
      <c r="L72" s="2"/>
      <c r="M72" s="3">
        <v>31</v>
      </c>
    </row>
    <row r="73" spans="1:13" x14ac:dyDescent="0.35">
      <c r="A73" s="2" t="s">
        <v>58</v>
      </c>
      <c r="B73" s="2" t="s">
        <v>59</v>
      </c>
      <c r="C73" s="2" t="s">
        <v>288</v>
      </c>
      <c r="D73" s="2" t="s">
        <v>61</v>
      </c>
      <c r="E73" s="2" t="s">
        <v>289</v>
      </c>
      <c r="F73" s="2" t="s">
        <v>289</v>
      </c>
      <c r="G73" s="2" t="s">
        <v>290</v>
      </c>
      <c r="H73" s="2" t="s">
        <v>291</v>
      </c>
      <c r="I73" s="2"/>
      <c r="J73" s="2" t="s">
        <v>292</v>
      </c>
      <c r="K73" s="2"/>
      <c r="L73" s="2"/>
      <c r="M73" s="3">
        <v>51</v>
      </c>
    </row>
    <row r="74" spans="1:13" x14ac:dyDescent="0.35">
      <c r="A74" s="2" t="s">
        <v>58</v>
      </c>
      <c r="B74" s="2" t="s">
        <v>59</v>
      </c>
      <c r="C74" s="2" t="s">
        <v>293</v>
      </c>
      <c r="D74" s="2" t="s">
        <v>22</v>
      </c>
      <c r="E74" s="2" t="s">
        <v>294</v>
      </c>
      <c r="F74" s="2" t="s">
        <v>294</v>
      </c>
      <c r="G74" s="2" t="s">
        <v>295</v>
      </c>
      <c r="H74" s="2" t="s">
        <v>296</v>
      </c>
      <c r="I74" s="2"/>
      <c r="J74" s="2" t="s">
        <v>297</v>
      </c>
      <c r="K74" s="2"/>
      <c r="L74" s="2"/>
      <c r="M74" s="3">
        <v>190</v>
      </c>
    </row>
    <row r="75" spans="1:13" x14ac:dyDescent="0.35">
      <c r="A75" s="2" t="s">
        <v>298</v>
      </c>
      <c r="B75" s="2" t="s">
        <v>59</v>
      </c>
      <c r="C75" s="2" t="s">
        <v>299</v>
      </c>
      <c r="D75" s="2" t="s">
        <v>22</v>
      </c>
      <c r="E75" s="2" t="s">
        <v>300</v>
      </c>
      <c r="F75" s="2" t="s">
        <v>300</v>
      </c>
      <c r="G75" s="2" t="s">
        <v>301</v>
      </c>
      <c r="H75" s="2"/>
      <c r="I75" s="2"/>
      <c r="J75" s="2" t="s">
        <v>302</v>
      </c>
      <c r="K75" s="2"/>
      <c r="L75" s="2"/>
      <c r="M75" s="3">
        <v>15</v>
      </c>
    </row>
    <row r="76" spans="1:13" x14ac:dyDescent="0.35">
      <c r="A76" s="2" t="s">
        <v>298</v>
      </c>
      <c r="B76" s="2" t="s">
        <v>59</v>
      </c>
      <c r="C76" s="2" t="s">
        <v>303</v>
      </c>
      <c r="D76" s="2" t="s">
        <v>22</v>
      </c>
      <c r="E76" s="2" t="s">
        <v>43</v>
      </c>
      <c r="F76" s="2" t="s">
        <v>43</v>
      </c>
      <c r="G76" s="2" t="s">
        <v>304</v>
      </c>
      <c r="H76" s="2"/>
      <c r="I76" s="2"/>
      <c r="J76" s="2" t="s">
        <v>305</v>
      </c>
      <c r="K76" s="2"/>
      <c r="L76" s="2"/>
      <c r="M76" s="3">
        <v>962</v>
      </c>
    </row>
    <row r="77" spans="1:13" x14ac:dyDescent="0.35">
      <c r="A77" s="2" t="s">
        <v>298</v>
      </c>
      <c r="B77" s="2" t="s">
        <v>59</v>
      </c>
      <c r="C77" s="2" t="s">
        <v>306</v>
      </c>
      <c r="D77" s="2" t="s">
        <v>22</v>
      </c>
      <c r="E77" s="2" t="s">
        <v>307</v>
      </c>
      <c r="F77" s="2" t="s">
        <v>307</v>
      </c>
      <c r="G77" s="2" t="s">
        <v>301</v>
      </c>
      <c r="H77" s="2"/>
      <c r="I77" s="2"/>
      <c r="J77" s="2" t="s">
        <v>308</v>
      </c>
      <c r="K77" s="2"/>
      <c r="L77" s="2"/>
      <c r="M77" s="3">
        <v>1101</v>
      </c>
    </row>
    <row r="78" spans="1:13" x14ac:dyDescent="0.35">
      <c r="A78" s="2" t="s">
        <v>298</v>
      </c>
      <c r="B78" s="2" t="s">
        <v>59</v>
      </c>
      <c r="C78" s="2" t="s">
        <v>309</v>
      </c>
      <c r="D78" s="2" t="s">
        <v>22</v>
      </c>
      <c r="E78" s="2" t="s">
        <v>310</v>
      </c>
      <c r="F78" s="2" t="s">
        <v>310</v>
      </c>
      <c r="G78" s="2"/>
      <c r="H78" s="2"/>
      <c r="I78" s="2"/>
      <c r="J78" s="2" t="s">
        <v>311</v>
      </c>
      <c r="K78" s="2"/>
      <c r="L78" s="2"/>
      <c r="M78" s="3">
        <v>17</v>
      </c>
    </row>
    <row r="79" spans="1:13" x14ac:dyDescent="0.35">
      <c r="A79" s="2" t="s">
        <v>298</v>
      </c>
      <c r="B79" s="2" t="s">
        <v>59</v>
      </c>
      <c r="C79" s="2" t="s">
        <v>312</v>
      </c>
      <c r="D79" s="2" t="s">
        <v>22</v>
      </c>
      <c r="E79" s="2" t="s">
        <v>28</v>
      </c>
      <c r="F79" s="2" t="s">
        <v>28</v>
      </c>
      <c r="G79" s="2"/>
      <c r="H79" s="2"/>
      <c r="I79" s="2"/>
      <c r="J79" s="2" t="s">
        <v>313</v>
      </c>
      <c r="K79" s="2"/>
      <c r="L79" s="2"/>
      <c r="M79" s="3">
        <v>7</v>
      </c>
    </row>
    <row r="80" spans="1:13" x14ac:dyDescent="0.35">
      <c r="A80" s="2" t="s">
        <v>298</v>
      </c>
      <c r="B80" s="2" t="s">
        <v>59</v>
      </c>
      <c r="C80" s="2" t="s">
        <v>314</v>
      </c>
      <c r="D80" s="2" t="s">
        <v>22</v>
      </c>
      <c r="E80" s="2" t="s">
        <v>28</v>
      </c>
      <c r="F80" s="2" t="s">
        <v>28</v>
      </c>
      <c r="G80" s="2" t="s">
        <v>315</v>
      </c>
      <c r="H80" s="2"/>
      <c r="I80" s="2"/>
      <c r="J80" s="2" t="s">
        <v>316</v>
      </c>
      <c r="K80" s="2"/>
      <c r="L80" s="2"/>
      <c r="M80" s="3">
        <v>45</v>
      </c>
    </row>
    <row r="81" spans="1:13" x14ac:dyDescent="0.35">
      <c r="A81" s="2" t="s">
        <v>317</v>
      </c>
      <c r="B81" s="2" t="s">
        <v>58</v>
      </c>
      <c r="C81" s="2" t="s">
        <v>318</v>
      </c>
      <c r="D81" s="2" t="s">
        <v>61</v>
      </c>
      <c r="E81" s="2" t="s">
        <v>319</v>
      </c>
      <c r="F81" s="2" t="s">
        <v>319</v>
      </c>
      <c r="G81" s="2" t="s">
        <v>320</v>
      </c>
      <c r="H81" s="2" t="s">
        <v>321</v>
      </c>
      <c r="I81" s="2"/>
      <c r="J81" s="2" t="s">
        <v>322</v>
      </c>
      <c r="K81" s="2"/>
      <c r="L81" s="2"/>
      <c r="M81" s="3">
        <v>2054</v>
      </c>
    </row>
    <row r="82" spans="1:13" x14ac:dyDescent="0.35">
      <c r="A82" s="2" t="s">
        <v>317</v>
      </c>
      <c r="B82" s="2" t="s">
        <v>58</v>
      </c>
      <c r="C82" s="2" t="s">
        <v>323</v>
      </c>
      <c r="D82" s="2" t="s">
        <v>61</v>
      </c>
      <c r="E82" s="2" t="s">
        <v>324</v>
      </c>
      <c r="F82" s="2" t="s">
        <v>324</v>
      </c>
      <c r="G82" s="2" t="s">
        <v>325</v>
      </c>
      <c r="H82" s="2" t="s">
        <v>326</v>
      </c>
      <c r="I82" s="2"/>
      <c r="J82" s="2" t="s">
        <v>327</v>
      </c>
      <c r="K82" s="2"/>
      <c r="L82" s="2"/>
      <c r="M82" s="3">
        <v>568</v>
      </c>
    </row>
    <row r="83" spans="1:13" x14ac:dyDescent="0.35">
      <c r="A83" s="2"/>
      <c r="B83" s="2"/>
      <c r="C83" s="2" t="s">
        <v>328</v>
      </c>
      <c r="D83" s="2" t="s">
        <v>22</v>
      </c>
      <c r="E83" s="2"/>
      <c r="F83" s="2"/>
      <c r="G83" s="2"/>
      <c r="H83" s="2"/>
      <c r="I83" s="2"/>
      <c r="J83" s="2"/>
      <c r="K83" s="2"/>
      <c r="L83" s="2"/>
      <c r="M83" s="3">
        <v>40</v>
      </c>
    </row>
    <row r="84" spans="1:13" x14ac:dyDescent="0.35">
      <c r="A84" s="2"/>
      <c r="B84" s="2"/>
      <c r="C84" s="2" t="s">
        <v>329</v>
      </c>
      <c r="D84" s="2" t="s">
        <v>22</v>
      </c>
      <c r="E84" s="2"/>
      <c r="F84" s="2"/>
      <c r="G84" s="2"/>
      <c r="H84" s="2"/>
      <c r="I84" s="2"/>
      <c r="J84" s="2"/>
      <c r="K84" s="2"/>
      <c r="L84" s="2"/>
      <c r="M84" s="3">
        <v>0</v>
      </c>
    </row>
    <row r="85" spans="1:13" x14ac:dyDescent="0.35">
      <c r="A85" s="2"/>
      <c r="B85" s="2"/>
      <c r="C85" s="2" t="s">
        <v>330</v>
      </c>
      <c r="D85" s="2" t="s">
        <v>22</v>
      </c>
      <c r="E85" s="2"/>
      <c r="F85" s="2"/>
      <c r="G85" s="2"/>
      <c r="H85" s="2"/>
      <c r="I85" s="2"/>
      <c r="J85" s="2"/>
      <c r="K85" s="2"/>
      <c r="L85" s="2"/>
      <c r="M85" s="3">
        <v>0</v>
      </c>
    </row>
    <row r="86" spans="1:13" x14ac:dyDescent="0.35">
      <c r="A86" s="2"/>
      <c r="B86" s="2"/>
      <c r="C86" s="2" t="s">
        <v>331</v>
      </c>
      <c r="D86" s="2" t="s">
        <v>22</v>
      </c>
      <c r="E86" s="2"/>
      <c r="F86" s="2"/>
      <c r="G86" s="2"/>
      <c r="H86" s="2"/>
      <c r="I86" s="2"/>
      <c r="J86" s="2"/>
      <c r="K86" s="2"/>
      <c r="L86" s="2"/>
      <c r="M86" s="3">
        <v>0</v>
      </c>
    </row>
  </sheetData>
  <mergeCells count="6">
    <mergeCell ref="A6:M6"/>
    <mergeCell ref="A1:M1"/>
    <mergeCell ref="A2:M2"/>
    <mergeCell ref="A3:M3"/>
    <mergeCell ref="A4:M4"/>
    <mergeCell ref="A5:M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46366-C49E-4D8A-A7FF-CFA879A5A99E}">
  <dimension ref="A1:M45"/>
  <sheetViews>
    <sheetView topLeftCell="F15" zoomScale="96" workbookViewId="0">
      <selection activeCell="R45" sqref="R45"/>
    </sheetView>
  </sheetViews>
  <sheetFormatPr defaultRowHeight="14.5" x14ac:dyDescent="0.35"/>
  <cols>
    <col min="1" max="1" width="15.7265625" customWidth="1"/>
    <col min="2" max="2" width="9.7265625" customWidth="1"/>
    <col min="3" max="3" width="43.7265625" customWidth="1"/>
    <col min="4" max="4" width="16.7265625" customWidth="1"/>
    <col min="5" max="6" width="45.7265625" customWidth="1"/>
    <col min="7" max="8" width="50.7265625" customWidth="1"/>
    <col min="9" max="9" width="5.7265625" customWidth="1"/>
    <col min="10" max="10" width="50.7265625" customWidth="1"/>
    <col min="11" max="11" width="16.7265625" customWidth="1"/>
    <col min="12" max="12" width="25.7265625" customWidth="1"/>
    <col min="13" max="13" width="20.7265625" customWidth="1"/>
  </cols>
  <sheetData>
    <row r="1" spans="1:13" ht="22.5" x14ac:dyDescent="0.35">
      <c r="A1" s="32" t="s">
        <v>0</v>
      </c>
      <c r="B1" s="32"/>
      <c r="C1" s="32"/>
      <c r="D1" s="32"/>
      <c r="E1" s="32"/>
      <c r="F1" s="32"/>
      <c r="G1" s="32"/>
      <c r="H1" s="32"/>
      <c r="I1" s="32"/>
      <c r="J1" s="32"/>
      <c r="K1" s="32"/>
      <c r="L1" s="32"/>
      <c r="M1" s="32"/>
    </row>
    <row r="2" spans="1:13" ht="15.5" x14ac:dyDescent="0.35">
      <c r="A2" s="33" t="s">
        <v>483</v>
      </c>
      <c r="B2" s="33"/>
      <c r="C2" s="33"/>
      <c r="D2" s="33"/>
      <c r="E2" s="33"/>
      <c r="F2" s="33"/>
      <c r="G2" s="33"/>
      <c r="H2" s="33"/>
      <c r="I2" s="33"/>
      <c r="J2" s="33"/>
      <c r="K2" s="33"/>
      <c r="L2" s="33"/>
      <c r="M2" s="33"/>
    </row>
    <row r="3" spans="1:13" x14ac:dyDescent="0.35">
      <c r="A3" s="31" t="s">
        <v>2</v>
      </c>
      <c r="B3" s="31"/>
      <c r="C3" s="31"/>
      <c r="D3" s="31"/>
      <c r="E3" s="31"/>
      <c r="F3" s="31"/>
      <c r="G3" s="31"/>
      <c r="H3" s="31"/>
      <c r="I3" s="31"/>
      <c r="J3" s="31"/>
      <c r="K3" s="31"/>
      <c r="L3" s="31"/>
      <c r="M3" s="31"/>
    </row>
    <row r="4" spans="1:13" x14ac:dyDescent="0.35">
      <c r="A4" s="31" t="s">
        <v>482</v>
      </c>
      <c r="B4" s="31"/>
      <c r="C4" s="31"/>
      <c r="D4" s="31"/>
      <c r="E4" s="31"/>
      <c r="F4" s="31"/>
      <c r="G4" s="31"/>
      <c r="H4" s="31"/>
      <c r="I4" s="31"/>
      <c r="J4" s="31"/>
      <c r="K4" s="31"/>
      <c r="L4" s="31"/>
      <c r="M4" s="31"/>
    </row>
    <row r="5" spans="1:13" x14ac:dyDescent="0.35">
      <c r="A5" s="31" t="s">
        <v>4</v>
      </c>
      <c r="B5" s="31"/>
      <c r="C5" s="31"/>
      <c r="D5" s="31"/>
      <c r="E5" s="31"/>
      <c r="F5" s="31"/>
      <c r="G5" s="31"/>
      <c r="H5" s="31"/>
      <c r="I5" s="31"/>
      <c r="J5" s="31"/>
      <c r="K5" s="31"/>
      <c r="L5" s="31"/>
      <c r="M5" s="31"/>
    </row>
    <row r="6" spans="1:13" x14ac:dyDescent="0.35">
      <c r="A6" s="31" t="s">
        <v>5</v>
      </c>
      <c r="B6" s="31"/>
      <c r="C6" s="31"/>
      <c r="D6" s="31"/>
      <c r="E6" s="31"/>
      <c r="F6" s="31"/>
      <c r="G6" s="31"/>
      <c r="H6" s="31"/>
      <c r="I6" s="31"/>
      <c r="J6" s="31"/>
      <c r="K6" s="31"/>
      <c r="L6" s="31"/>
      <c r="M6" s="31"/>
    </row>
    <row r="7" spans="1:13" x14ac:dyDescent="0.35">
      <c r="A7" s="1" t="s">
        <v>6</v>
      </c>
      <c r="B7" s="1" t="s">
        <v>7</v>
      </c>
      <c r="C7" s="1" t="s">
        <v>8</v>
      </c>
      <c r="D7" s="1" t="s">
        <v>9</v>
      </c>
      <c r="E7" s="1" t="s">
        <v>10</v>
      </c>
      <c r="F7" s="1" t="s">
        <v>11</v>
      </c>
      <c r="G7" s="1" t="s">
        <v>12</v>
      </c>
      <c r="H7" s="1" t="s">
        <v>13</v>
      </c>
      <c r="I7" s="1" t="s">
        <v>14</v>
      </c>
      <c r="J7" s="1" t="s">
        <v>15</v>
      </c>
      <c r="K7" s="1" t="s">
        <v>16</v>
      </c>
      <c r="L7" s="1" t="s">
        <v>17</v>
      </c>
      <c r="M7" s="1" t="s">
        <v>18</v>
      </c>
    </row>
    <row r="8" spans="1:13" x14ac:dyDescent="0.35">
      <c r="A8" s="2" t="s">
        <v>58</v>
      </c>
      <c r="B8" s="2" t="s">
        <v>59</v>
      </c>
      <c r="C8" s="2" t="s">
        <v>481</v>
      </c>
      <c r="D8" s="2" t="s">
        <v>61</v>
      </c>
      <c r="E8" s="2" t="s">
        <v>118</v>
      </c>
      <c r="F8" s="2" t="s">
        <v>118</v>
      </c>
      <c r="G8" s="2" t="s">
        <v>480</v>
      </c>
      <c r="H8" s="2" t="s">
        <v>479</v>
      </c>
      <c r="I8" s="2"/>
      <c r="J8" s="2" t="s">
        <v>478</v>
      </c>
      <c r="K8" s="2"/>
      <c r="L8" s="2"/>
      <c r="M8" s="3">
        <v>178</v>
      </c>
    </row>
    <row r="9" spans="1:13" x14ac:dyDescent="0.35">
      <c r="A9" s="2" t="s">
        <v>58</v>
      </c>
      <c r="B9" s="2" t="s">
        <v>59</v>
      </c>
      <c r="C9" s="2" t="s">
        <v>477</v>
      </c>
      <c r="D9" s="2" t="s">
        <v>22</v>
      </c>
      <c r="E9" s="2" t="s">
        <v>476</v>
      </c>
      <c r="F9" s="2" t="s">
        <v>476</v>
      </c>
      <c r="G9" s="2" t="s">
        <v>475</v>
      </c>
      <c r="H9" s="2" t="s">
        <v>474</v>
      </c>
      <c r="I9" s="2"/>
      <c r="J9" s="2" t="s">
        <v>473</v>
      </c>
      <c r="K9" s="2"/>
      <c r="L9" s="2"/>
      <c r="M9" s="3">
        <v>14</v>
      </c>
    </row>
    <row r="10" spans="1:13" x14ac:dyDescent="0.35">
      <c r="A10" s="2" t="s">
        <v>58</v>
      </c>
      <c r="B10" s="2" t="s">
        <v>59</v>
      </c>
      <c r="C10" s="2" t="s">
        <v>472</v>
      </c>
      <c r="D10" s="2" t="s">
        <v>61</v>
      </c>
      <c r="E10" s="2" t="s">
        <v>319</v>
      </c>
      <c r="F10" s="2" t="s">
        <v>319</v>
      </c>
      <c r="G10" s="2" t="s">
        <v>471</v>
      </c>
      <c r="H10" s="2" t="s">
        <v>470</v>
      </c>
      <c r="I10" s="2"/>
      <c r="J10" s="2" t="s">
        <v>469</v>
      </c>
      <c r="K10" s="2"/>
      <c r="L10" s="2"/>
      <c r="M10" s="3">
        <v>1</v>
      </c>
    </row>
    <row r="11" spans="1:13" x14ac:dyDescent="0.35">
      <c r="A11" s="2" t="s">
        <v>58</v>
      </c>
      <c r="B11" s="2" t="s">
        <v>59</v>
      </c>
      <c r="C11" s="2" t="s">
        <v>468</v>
      </c>
      <c r="D11" s="2" t="s">
        <v>22</v>
      </c>
      <c r="E11" s="2" t="s">
        <v>467</v>
      </c>
      <c r="F11" s="2" t="s">
        <v>467</v>
      </c>
      <c r="G11" s="2" t="s">
        <v>466</v>
      </c>
      <c r="H11" s="2" t="s">
        <v>465</v>
      </c>
      <c r="I11" s="2"/>
      <c r="J11" s="2" t="s">
        <v>464</v>
      </c>
      <c r="K11" s="2"/>
      <c r="L11" s="2"/>
      <c r="M11" s="3">
        <v>435</v>
      </c>
    </row>
    <row r="12" spans="1:13" x14ac:dyDescent="0.35">
      <c r="A12" s="2" t="s">
        <v>58</v>
      </c>
      <c r="B12" s="2" t="s">
        <v>59</v>
      </c>
      <c r="C12" s="2" t="s">
        <v>463</v>
      </c>
      <c r="D12" s="2" t="s">
        <v>22</v>
      </c>
      <c r="E12" s="2" t="s">
        <v>462</v>
      </c>
      <c r="F12" s="2" t="s">
        <v>462</v>
      </c>
      <c r="G12" s="2" t="s">
        <v>426</v>
      </c>
      <c r="H12" s="2" t="s">
        <v>461</v>
      </c>
      <c r="I12" s="2"/>
      <c r="J12" s="2" t="s">
        <v>460</v>
      </c>
      <c r="K12" s="2"/>
      <c r="L12" s="2"/>
      <c r="M12" s="3">
        <v>56</v>
      </c>
    </row>
    <row r="13" spans="1:13" x14ac:dyDescent="0.35">
      <c r="A13" s="2" t="s">
        <v>58</v>
      </c>
      <c r="B13" s="2" t="s">
        <v>59</v>
      </c>
      <c r="C13" s="2" t="s">
        <v>278</v>
      </c>
      <c r="D13" s="2" t="s">
        <v>61</v>
      </c>
      <c r="E13" s="2" t="s">
        <v>459</v>
      </c>
      <c r="F13" s="2" t="s">
        <v>459</v>
      </c>
      <c r="G13" s="2" t="s">
        <v>458</v>
      </c>
      <c r="H13" s="2" t="s">
        <v>457</v>
      </c>
      <c r="I13" s="2"/>
      <c r="J13" s="2" t="s">
        <v>456</v>
      </c>
      <c r="K13" s="2"/>
      <c r="L13" s="2"/>
      <c r="M13" s="3">
        <v>672</v>
      </c>
    </row>
    <row r="14" spans="1:13" x14ac:dyDescent="0.35">
      <c r="A14" s="2" t="s">
        <v>58</v>
      </c>
      <c r="B14" s="2" t="s">
        <v>59</v>
      </c>
      <c r="C14" s="2" t="s">
        <v>455</v>
      </c>
      <c r="D14" s="2" t="s">
        <v>61</v>
      </c>
      <c r="E14" s="2" t="s">
        <v>379</v>
      </c>
      <c r="F14" s="2" t="s">
        <v>379</v>
      </c>
      <c r="G14" s="2" t="s">
        <v>454</v>
      </c>
      <c r="H14" s="2" t="s">
        <v>453</v>
      </c>
      <c r="I14" s="2"/>
      <c r="J14" s="2" t="s">
        <v>452</v>
      </c>
      <c r="K14" s="2"/>
      <c r="L14" s="2"/>
      <c r="M14" s="3">
        <v>2208</v>
      </c>
    </row>
    <row r="15" spans="1:13" x14ac:dyDescent="0.35">
      <c r="A15" s="2" t="s">
        <v>58</v>
      </c>
      <c r="B15" s="2" t="s">
        <v>59</v>
      </c>
      <c r="C15" s="2" t="s">
        <v>451</v>
      </c>
      <c r="D15" s="2" t="s">
        <v>61</v>
      </c>
      <c r="E15" s="2" t="s">
        <v>369</v>
      </c>
      <c r="F15" s="2" t="s">
        <v>369</v>
      </c>
      <c r="G15" s="2" t="s">
        <v>368</v>
      </c>
      <c r="H15" s="2" t="s">
        <v>367</v>
      </c>
      <c r="I15" s="2"/>
      <c r="J15" s="2" t="s">
        <v>72</v>
      </c>
      <c r="K15" s="2"/>
      <c r="L15" s="2"/>
      <c r="M15" s="3">
        <v>3</v>
      </c>
    </row>
    <row r="16" spans="1:13" x14ac:dyDescent="0.35">
      <c r="A16" s="2" t="s">
        <v>58</v>
      </c>
      <c r="B16" s="2" t="s">
        <v>59</v>
      </c>
      <c r="C16" s="2" t="s">
        <v>450</v>
      </c>
      <c r="D16" s="2" t="s">
        <v>22</v>
      </c>
      <c r="E16" s="2" t="s">
        <v>449</v>
      </c>
      <c r="F16" s="2" t="s">
        <v>449</v>
      </c>
      <c r="G16" s="2" t="s">
        <v>448</v>
      </c>
      <c r="H16" s="2" t="s">
        <v>447</v>
      </c>
      <c r="I16" s="2"/>
      <c r="J16" s="2" t="s">
        <v>446</v>
      </c>
      <c r="K16" s="2"/>
      <c r="L16" s="2"/>
      <c r="M16" s="3">
        <v>158</v>
      </c>
    </row>
    <row r="17" spans="1:13" x14ac:dyDescent="0.35">
      <c r="A17" s="2" t="s">
        <v>58</v>
      </c>
      <c r="B17" s="2" t="s">
        <v>59</v>
      </c>
      <c r="C17" s="2" t="s">
        <v>445</v>
      </c>
      <c r="D17" s="2" t="s">
        <v>22</v>
      </c>
      <c r="E17" s="2" t="s">
        <v>444</v>
      </c>
      <c r="F17" s="2" t="s">
        <v>444</v>
      </c>
      <c r="G17" s="2" t="s">
        <v>443</v>
      </c>
      <c r="H17" s="2" t="s">
        <v>442</v>
      </c>
      <c r="I17" s="2"/>
      <c r="J17" s="2" t="s">
        <v>184</v>
      </c>
      <c r="K17" s="2"/>
      <c r="L17" s="2"/>
      <c r="M17" s="3">
        <v>19</v>
      </c>
    </row>
    <row r="18" spans="1:13" x14ac:dyDescent="0.35">
      <c r="A18" s="2" t="s">
        <v>58</v>
      </c>
      <c r="B18" s="2" t="s">
        <v>59</v>
      </c>
      <c r="C18" s="2" t="s">
        <v>441</v>
      </c>
      <c r="D18" s="2" t="s">
        <v>61</v>
      </c>
      <c r="E18" s="2" t="s">
        <v>440</v>
      </c>
      <c r="F18" s="2" t="s">
        <v>440</v>
      </c>
      <c r="G18" s="2" t="s">
        <v>439</v>
      </c>
      <c r="H18" s="2" t="s">
        <v>438</v>
      </c>
      <c r="I18" s="2"/>
      <c r="J18" s="2"/>
      <c r="K18" s="2"/>
      <c r="L18" s="2"/>
      <c r="M18" s="3">
        <v>31</v>
      </c>
    </row>
    <row r="19" spans="1:13" x14ac:dyDescent="0.35">
      <c r="A19" s="2" t="s">
        <v>58</v>
      </c>
      <c r="B19" s="2" t="s">
        <v>59</v>
      </c>
      <c r="C19" s="2" t="s">
        <v>437</v>
      </c>
      <c r="D19" s="2" t="s">
        <v>61</v>
      </c>
      <c r="E19" s="2" t="s">
        <v>436</v>
      </c>
      <c r="F19" s="2" t="s">
        <v>436</v>
      </c>
      <c r="G19" s="2" t="s">
        <v>435</v>
      </c>
      <c r="H19" s="2" t="s">
        <v>434</v>
      </c>
      <c r="I19" s="2"/>
      <c r="J19" s="2" t="s">
        <v>433</v>
      </c>
      <c r="K19" s="2"/>
      <c r="L19" s="2"/>
      <c r="M19" s="3">
        <v>1673</v>
      </c>
    </row>
    <row r="20" spans="1:13" x14ac:dyDescent="0.35">
      <c r="A20" s="2" t="s">
        <v>58</v>
      </c>
      <c r="B20" s="2" t="s">
        <v>59</v>
      </c>
      <c r="C20" s="2" t="s">
        <v>432</v>
      </c>
      <c r="D20" s="2" t="s">
        <v>22</v>
      </c>
      <c r="E20" s="2" t="s">
        <v>431</v>
      </c>
      <c r="F20" s="2" t="s">
        <v>431</v>
      </c>
      <c r="G20" s="2" t="s">
        <v>430</v>
      </c>
      <c r="H20" s="2" t="s">
        <v>429</v>
      </c>
      <c r="I20" s="2"/>
      <c r="J20" s="2"/>
      <c r="K20" s="2"/>
      <c r="L20" s="2"/>
      <c r="M20" s="3">
        <v>2</v>
      </c>
    </row>
    <row r="21" spans="1:13" x14ac:dyDescent="0.35">
      <c r="A21" s="2" t="s">
        <v>58</v>
      </c>
      <c r="B21" s="2" t="s">
        <v>59</v>
      </c>
      <c r="C21" s="2" t="s">
        <v>428</v>
      </c>
      <c r="D21" s="2" t="s">
        <v>61</v>
      </c>
      <c r="E21" s="2" t="s">
        <v>427</v>
      </c>
      <c r="F21" s="2" t="s">
        <v>427</v>
      </c>
      <c r="G21" s="2" t="s">
        <v>426</v>
      </c>
      <c r="H21" s="2" t="s">
        <v>425</v>
      </c>
      <c r="I21" s="2"/>
      <c r="J21" s="2" t="s">
        <v>424</v>
      </c>
      <c r="K21" s="2"/>
      <c r="L21" s="2"/>
      <c r="M21" s="3">
        <v>443</v>
      </c>
    </row>
    <row r="22" spans="1:13" x14ac:dyDescent="0.35">
      <c r="A22" s="2" t="s">
        <v>58</v>
      </c>
      <c r="B22" s="2" t="s">
        <v>59</v>
      </c>
      <c r="C22" s="2" t="s">
        <v>423</v>
      </c>
      <c r="D22" s="2" t="s">
        <v>22</v>
      </c>
      <c r="E22" s="2" t="s">
        <v>422</v>
      </c>
      <c r="F22" s="2" t="s">
        <v>422</v>
      </c>
      <c r="G22" s="2" t="s">
        <v>421</v>
      </c>
      <c r="H22" s="2" t="s">
        <v>420</v>
      </c>
      <c r="I22" s="2"/>
      <c r="J22" s="2" t="s">
        <v>419</v>
      </c>
      <c r="K22" s="2"/>
      <c r="L22" s="2"/>
      <c r="M22" s="3">
        <v>9</v>
      </c>
    </row>
    <row r="23" spans="1:13" x14ac:dyDescent="0.35">
      <c r="A23" s="2" t="s">
        <v>58</v>
      </c>
      <c r="B23" s="2" t="s">
        <v>59</v>
      </c>
      <c r="C23" s="2" t="s">
        <v>418</v>
      </c>
      <c r="D23" s="2" t="s">
        <v>61</v>
      </c>
      <c r="E23" s="2" t="s">
        <v>208</v>
      </c>
      <c r="F23" s="2" t="s">
        <v>208</v>
      </c>
      <c r="G23" s="2" t="s">
        <v>417</v>
      </c>
      <c r="H23" s="2" t="s">
        <v>416</v>
      </c>
      <c r="I23" s="2"/>
      <c r="J23" s="2" t="s">
        <v>415</v>
      </c>
      <c r="K23" s="2"/>
      <c r="L23" s="2"/>
      <c r="M23" s="3">
        <v>80</v>
      </c>
    </row>
    <row r="24" spans="1:13" x14ac:dyDescent="0.35">
      <c r="A24" s="2" t="s">
        <v>58</v>
      </c>
      <c r="B24" s="2" t="s">
        <v>59</v>
      </c>
      <c r="C24" s="2" t="s">
        <v>414</v>
      </c>
      <c r="D24" s="2" t="s">
        <v>22</v>
      </c>
      <c r="E24" s="2" t="s">
        <v>413</v>
      </c>
      <c r="F24" s="2" t="s">
        <v>413</v>
      </c>
      <c r="G24" s="2" t="s">
        <v>412</v>
      </c>
      <c r="H24" s="2" t="s">
        <v>411</v>
      </c>
      <c r="I24" s="2"/>
      <c r="J24" s="2" t="s">
        <v>410</v>
      </c>
      <c r="K24" s="2"/>
      <c r="L24" s="2"/>
      <c r="M24" s="3">
        <v>0</v>
      </c>
    </row>
    <row r="25" spans="1:13" x14ac:dyDescent="0.35">
      <c r="A25" s="2" t="s">
        <v>58</v>
      </c>
      <c r="B25" s="2" t="s">
        <v>59</v>
      </c>
      <c r="C25" s="2" t="s">
        <v>409</v>
      </c>
      <c r="D25" s="2" t="s">
        <v>22</v>
      </c>
      <c r="E25" s="2" t="s">
        <v>408</v>
      </c>
      <c r="F25" s="2" t="s">
        <v>408</v>
      </c>
      <c r="G25" s="2" t="s">
        <v>407</v>
      </c>
      <c r="H25" s="2" t="s">
        <v>406</v>
      </c>
      <c r="I25" s="2"/>
      <c r="J25" s="2" t="s">
        <v>405</v>
      </c>
      <c r="K25" s="2"/>
      <c r="L25" s="2"/>
      <c r="M25" s="3">
        <v>39</v>
      </c>
    </row>
    <row r="26" spans="1:13" x14ac:dyDescent="0.35">
      <c r="A26" s="2" t="s">
        <v>58</v>
      </c>
      <c r="B26" s="2" t="s">
        <v>59</v>
      </c>
      <c r="C26" s="2" t="s">
        <v>104</v>
      </c>
      <c r="D26" s="2" t="s">
        <v>22</v>
      </c>
      <c r="E26" s="2" t="s">
        <v>404</v>
      </c>
      <c r="F26" s="2" t="s">
        <v>404</v>
      </c>
      <c r="G26" s="2" t="s">
        <v>403</v>
      </c>
      <c r="H26" s="2" t="s">
        <v>402</v>
      </c>
      <c r="I26" s="2"/>
      <c r="J26" s="2" t="s">
        <v>401</v>
      </c>
      <c r="K26" s="2"/>
      <c r="L26" s="2"/>
      <c r="M26" s="3">
        <v>110</v>
      </c>
    </row>
    <row r="27" spans="1:13" x14ac:dyDescent="0.35">
      <c r="A27" s="2" t="s">
        <v>58</v>
      </c>
      <c r="B27" s="2" t="s">
        <v>59</v>
      </c>
      <c r="C27" s="2" t="s">
        <v>400</v>
      </c>
      <c r="D27" s="2" t="s">
        <v>22</v>
      </c>
      <c r="E27" s="2" t="s">
        <v>399</v>
      </c>
      <c r="F27" s="2" t="s">
        <v>399</v>
      </c>
      <c r="G27" s="2" t="s">
        <v>398</v>
      </c>
      <c r="H27" s="2" t="s">
        <v>397</v>
      </c>
      <c r="I27" s="2"/>
      <c r="J27" s="2" t="s">
        <v>396</v>
      </c>
      <c r="K27" s="2"/>
      <c r="L27" s="2"/>
      <c r="M27" s="3">
        <v>140</v>
      </c>
    </row>
    <row r="28" spans="1:13" x14ac:dyDescent="0.35">
      <c r="A28" s="2" t="s">
        <v>58</v>
      </c>
      <c r="B28" s="2" t="s">
        <v>59</v>
      </c>
      <c r="C28" s="2" t="s">
        <v>395</v>
      </c>
      <c r="D28" s="2" t="s">
        <v>61</v>
      </c>
      <c r="E28" s="2" t="s">
        <v>394</v>
      </c>
      <c r="F28" s="2" t="s">
        <v>394</v>
      </c>
      <c r="G28" s="2" t="s">
        <v>393</v>
      </c>
      <c r="H28" s="2" t="s">
        <v>392</v>
      </c>
      <c r="I28" s="2"/>
      <c r="J28" s="2" t="s">
        <v>391</v>
      </c>
      <c r="K28" s="2"/>
      <c r="L28" s="2"/>
      <c r="M28" s="3">
        <v>1221</v>
      </c>
    </row>
    <row r="29" spans="1:13" x14ac:dyDescent="0.35">
      <c r="A29" s="2" t="s">
        <v>58</v>
      </c>
      <c r="B29" s="2" t="s">
        <v>59</v>
      </c>
      <c r="C29" s="2" t="s">
        <v>390</v>
      </c>
      <c r="D29" s="2" t="s">
        <v>22</v>
      </c>
      <c r="E29" s="2" t="s">
        <v>389</v>
      </c>
      <c r="F29" s="2" t="s">
        <v>389</v>
      </c>
      <c r="G29" s="2" t="s">
        <v>388</v>
      </c>
      <c r="H29" s="2" t="s">
        <v>387</v>
      </c>
      <c r="I29" s="2"/>
      <c r="J29" s="2" t="s">
        <v>386</v>
      </c>
      <c r="K29" s="2"/>
      <c r="L29" s="2"/>
      <c r="M29" s="3">
        <v>1</v>
      </c>
    </row>
    <row r="30" spans="1:13" x14ac:dyDescent="0.35">
      <c r="A30" s="2" t="s">
        <v>58</v>
      </c>
      <c r="B30" s="2" t="s">
        <v>59</v>
      </c>
      <c r="C30" s="2" t="s">
        <v>385</v>
      </c>
      <c r="D30" s="2" t="s">
        <v>22</v>
      </c>
      <c r="E30" s="2" t="s">
        <v>384</v>
      </c>
      <c r="F30" s="2" t="s">
        <v>384</v>
      </c>
      <c r="G30" s="2" t="s">
        <v>383</v>
      </c>
      <c r="H30" s="2" t="s">
        <v>382</v>
      </c>
      <c r="I30" s="2"/>
      <c r="J30" s="2" t="s">
        <v>381</v>
      </c>
      <c r="K30" s="2"/>
      <c r="L30" s="2"/>
      <c r="M30" s="3">
        <v>5</v>
      </c>
    </row>
    <row r="31" spans="1:13" x14ac:dyDescent="0.35">
      <c r="A31" s="2" t="s">
        <v>58</v>
      </c>
      <c r="B31" s="2" t="s">
        <v>59</v>
      </c>
      <c r="C31" s="2" t="s">
        <v>380</v>
      </c>
      <c r="D31" s="2" t="s">
        <v>61</v>
      </c>
      <c r="E31" s="2" t="s">
        <v>379</v>
      </c>
      <c r="F31" s="2" t="s">
        <v>379</v>
      </c>
      <c r="G31" s="2" t="s">
        <v>378</v>
      </c>
      <c r="H31" s="2" t="s">
        <v>377</v>
      </c>
      <c r="I31" s="2"/>
      <c r="J31" s="2" t="s">
        <v>376</v>
      </c>
      <c r="K31" s="2"/>
      <c r="L31" s="2"/>
      <c r="M31" s="3">
        <v>1543</v>
      </c>
    </row>
    <row r="32" spans="1:13" x14ac:dyDescent="0.35">
      <c r="A32" s="2" t="s">
        <v>58</v>
      </c>
      <c r="B32" s="2" t="s">
        <v>59</v>
      </c>
      <c r="C32" s="2" t="s">
        <v>375</v>
      </c>
      <c r="D32" s="2" t="s">
        <v>22</v>
      </c>
      <c r="E32" s="2" t="s">
        <v>374</v>
      </c>
      <c r="F32" s="2" t="s">
        <v>374</v>
      </c>
      <c r="G32" s="2" t="s">
        <v>373</v>
      </c>
      <c r="H32" s="2" t="s">
        <v>372</v>
      </c>
      <c r="I32" s="2"/>
      <c r="J32" s="2" t="s">
        <v>371</v>
      </c>
      <c r="K32" s="2"/>
      <c r="L32" s="2"/>
      <c r="M32" s="3">
        <v>64</v>
      </c>
    </row>
    <row r="33" spans="1:13" x14ac:dyDescent="0.35">
      <c r="A33" s="2" t="s">
        <v>58</v>
      </c>
      <c r="B33" s="2" t="s">
        <v>59</v>
      </c>
      <c r="C33" s="2" t="s">
        <v>370</v>
      </c>
      <c r="D33" s="2" t="s">
        <v>22</v>
      </c>
      <c r="E33" s="2" t="s">
        <v>369</v>
      </c>
      <c r="F33" s="2" t="s">
        <v>369</v>
      </c>
      <c r="G33" s="2" t="s">
        <v>368</v>
      </c>
      <c r="H33" s="2" t="s">
        <v>367</v>
      </c>
      <c r="I33" s="2"/>
      <c r="J33" s="2" t="s">
        <v>366</v>
      </c>
      <c r="K33" s="2"/>
      <c r="L33" s="2"/>
      <c r="M33" s="3">
        <v>36</v>
      </c>
    </row>
    <row r="34" spans="1:13" x14ac:dyDescent="0.35">
      <c r="A34" s="2" t="s">
        <v>357</v>
      </c>
      <c r="B34" s="2" t="s">
        <v>59</v>
      </c>
      <c r="C34" s="2" t="s">
        <v>365</v>
      </c>
      <c r="D34" s="2" t="s">
        <v>22</v>
      </c>
      <c r="E34" s="2" t="s">
        <v>364</v>
      </c>
      <c r="F34" s="2" t="s">
        <v>364</v>
      </c>
      <c r="G34" s="2"/>
      <c r="H34" s="2"/>
      <c r="I34" s="2"/>
      <c r="J34" s="2" t="s">
        <v>363</v>
      </c>
      <c r="K34" s="2"/>
      <c r="L34" s="2"/>
      <c r="M34" s="3">
        <v>0</v>
      </c>
    </row>
    <row r="35" spans="1:13" x14ac:dyDescent="0.35">
      <c r="A35" s="2" t="s">
        <v>357</v>
      </c>
      <c r="B35" s="2" t="s">
        <v>59</v>
      </c>
      <c r="C35" s="2" t="s">
        <v>362</v>
      </c>
      <c r="D35" s="2" t="s">
        <v>22</v>
      </c>
      <c r="E35" s="2" t="s">
        <v>361</v>
      </c>
      <c r="F35" s="2" t="s">
        <v>361</v>
      </c>
      <c r="G35" s="2" t="s">
        <v>360</v>
      </c>
      <c r="H35" s="2" t="s">
        <v>359</v>
      </c>
      <c r="I35" s="2"/>
      <c r="J35" s="2" t="s">
        <v>358</v>
      </c>
      <c r="K35" s="2"/>
      <c r="L35" s="2"/>
      <c r="M35" s="3">
        <v>433</v>
      </c>
    </row>
    <row r="36" spans="1:13" x14ac:dyDescent="0.35">
      <c r="A36" s="2" t="s">
        <v>357</v>
      </c>
      <c r="B36" s="2" t="s">
        <v>59</v>
      </c>
      <c r="C36" s="2" t="s">
        <v>356</v>
      </c>
      <c r="D36" s="2" t="s">
        <v>22</v>
      </c>
      <c r="E36" s="2" t="s">
        <v>355</v>
      </c>
      <c r="F36" s="2" t="s">
        <v>355</v>
      </c>
      <c r="G36" s="2"/>
      <c r="H36" s="2"/>
      <c r="I36" s="2"/>
      <c r="J36" s="2" t="s">
        <v>354</v>
      </c>
      <c r="K36" s="2"/>
      <c r="L36" s="2"/>
      <c r="M36" s="3">
        <v>0</v>
      </c>
    </row>
    <row r="37" spans="1:13" x14ac:dyDescent="0.35">
      <c r="A37" s="2" t="s">
        <v>341</v>
      </c>
      <c r="B37" s="2" t="s">
        <v>58</v>
      </c>
      <c r="C37" s="2" t="s">
        <v>353</v>
      </c>
      <c r="D37" s="2" t="s">
        <v>61</v>
      </c>
      <c r="E37" s="2" t="s">
        <v>319</v>
      </c>
      <c r="F37" s="2" t="s">
        <v>319</v>
      </c>
      <c r="G37" s="2" t="s">
        <v>352</v>
      </c>
      <c r="H37" s="2" t="s">
        <v>351</v>
      </c>
      <c r="I37" s="2"/>
      <c r="J37" s="2" t="s">
        <v>350</v>
      </c>
      <c r="K37" s="2"/>
      <c r="L37" s="2"/>
      <c r="M37" s="3">
        <v>680</v>
      </c>
    </row>
    <row r="38" spans="1:13" x14ac:dyDescent="0.35">
      <c r="A38" s="2" t="s">
        <v>341</v>
      </c>
      <c r="B38" s="2" t="s">
        <v>58</v>
      </c>
      <c r="C38" s="2" t="s">
        <v>349</v>
      </c>
      <c r="D38" s="2" t="s">
        <v>61</v>
      </c>
      <c r="E38" s="2" t="s">
        <v>348</v>
      </c>
      <c r="F38" s="2" t="s">
        <v>348</v>
      </c>
      <c r="G38" s="2" t="s">
        <v>347</v>
      </c>
      <c r="H38" s="2" t="s">
        <v>346</v>
      </c>
      <c r="I38" s="2"/>
      <c r="J38" s="2" t="s">
        <v>345</v>
      </c>
      <c r="K38" s="2"/>
      <c r="L38" s="2"/>
      <c r="M38" s="3">
        <v>2724</v>
      </c>
    </row>
    <row r="39" spans="1:13" x14ac:dyDescent="0.35">
      <c r="A39" s="2" t="s">
        <v>341</v>
      </c>
      <c r="B39" s="2" t="s">
        <v>58</v>
      </c>
      <c r="C39" s="2" t="s">
        <v>344</v>
      </c>
      <c r="D39" s="2" t="s">
        <v>61</v>
      </c>
      <c r="E39" s="2" t="s">
        <v>158</v>
      </c>
      <c r="F39" s="2" t="s">
        <v>158</v>
      </c>
      <c r="G39" s="2" t="s">
        <v>343</v>
      </c>
      <c r="H39" s="2" t="s">
        <v>342</v>
      </c>
      <c r="I39" s="2"/>
      <c r="J39" s="2" t="s">
        <v>161</v>
      </c>
      <c r="K39" s="2"/>
      <c r="L39" s="2"/>
      <c r="M39" s="3">
        <v>24</v>
      </c>
    </row>
    <row r="40" spans="1:13" x14ac:dyDescent="0.35">
      <c r="A40" s="2" t="s">
        <v>341</v>
      </c>
      <c r="B40" s="2" t="s">
        <v>58</v>
      </c>
      <c r="C40" s="2" t="s">
        <v>340</v>
      </c>
      <c r="D40" s="2" t="s">
        <v>61</v>
      </c>
      <c r="E40" s="2" t="s">
        <v>122</v>
      </c>
      <c r="F40" s="2" t="s">
        <v>122</v>
      </c>
      <c r="G40" s="2" t="s">
        <v>339</v>
      </c>
      <c r="H40" s="2" t="s">
        <v>338</v>
      </c>
      <c r="I40" s="2"/>
      <c r="J40" s="2" t="s">
        <v>337</v>
      </c>
      <c r="K40" s="2"/>
      <c r="L40" s="2"/>
      <c r="M40" s="3">
        <v>82</v>
      </c>
    </row>
    <row r="41" spans="1:13" x14ac:dyDescent="0.35">
      <c r="A41" s="2"/>
      <c r="B41" s="2"/>
      <c r="C41" s="2" t="s">
        <v>336</v>
      </c>
      <c r="D41" s="2" t="s">
        <v>22</v>
      </c>
      <c r="E41" s="2"/>
      <c r="F41" s="2"/>
      <c r="G41" s="2"/>
      <c r="H41" s="2"/>
      <c r="I41" s="2"/>
      <c r="J41" s="2"/>
      <c r="K41" s="2"/>
      <c r="L41" s="2"/>
      <c r="M41" s="3">
        <v>0</v>
      </c>
    </row>
    <row r="42" spans="1:13" x14ac:dyDescent="0.35">
      <c r="A42" s="2"/>
      <c r="B42" s="2"/>
      <c r="C42" s="2" t="s">
        <v>335</v>
      </c>
      <c r="D42" s="2" t="s">
        <v>22</v>
      </c>
      <c r="E42" s="2"/>
      <c r="F42" s="2"/>
      <c r="G42" s="2"/>
      <c r="H42" s="2"/>
      <c r="I42" s="2"/>
      <c r="J42" s="2"/>
      <c r="K42" s="2"/>
      <c r="L42" s="2"/>
      <c r="M42" s="3">
        <v>0</v>
      </c>
    </row>
    <row r="43" spans="1:13" x14ac:dyDescent="0.35">
      <c r="A43" s="2"/>
      <c r="B43" s="2"/>
      <c r="C43" s="2" t="s">
        <v>334</v>
      </c>
      <c r="D43" s="2" t="s">
        <v>22</v>
      </c>
      <c r="E43" s="2"/>
      <c r="F43" s="2"/>
      <c r="G43" s="2"/>
      <c r="H43" s="2"/>
      <c r="I43" s="2"/>
      <c r="J43" s="2"/>
      <c r="K43" s="2"/>
      <c r="L43" s="2"/>
      <c r="M43" s="3">
        <v>0</v>
      </c>
    </row>
    <row r="44" spans="1:13" x14ac:dyDescent="0.35">
      <c r="A44" s="2"/>
      <c r="B44" s="2"/>
      <c r="C44" s="2" t="s">
        <v>333</v>
      </c>
      <c r="D44" s="2" t="s">
        <v>22</v>
      </c>
      <c r="E44" s="2"/>
      <c r="F44" s="2"/>
      <c r="G44" s="2"/>
      <c r="H44" s="2"/>
      <c r="I44" s="2"/>
      <c r="J44" s="2"/>
      <c r="K44" s="2"/>
      <c r="L44" s="2"/>
      <c r="M44" s="3">
        <v>57</v>
      </c>
    </row>
    <row r="45" spans="1:13" x14ac:dyDescent="0.35">
      <c r="A45" s="2"/>
      <c r="B45" s="2"/>
      <c r="C45" s="2" t="s">
        <v>332</v>
      </c>
      <c r="D45" s="2" t="s">
        <v>22</v>
      </c>
      <c r="E45" s="2"/>
      <c r="F45" s="2"/>
      <c r="G45" s="2"/>
      <c r="H45" s="2"/>
      <c r="I45" s="2"/>
      <c r="J45" s="2"/>
      <c r="K45" s="2"/>
      <c r="L45" s="2"/>
      <c r="M45" s="3">
        <v>2</v>
      </c>
    </row>
  </sheetData>
  <mergeCells count="6">
    <mergeCell ref="A6:M6"/>
    <mergeCell ref="A1:M1"/>
    <mergeCell ref="A2:M2"/>
    <mergeCell ref="A3:M3"/>
    <mergeCell ref="A4:M4"/>
    <mergeCell ref="A5:M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9B827-EC89-456E-8895-4F81E1C44495}">
  <dimension ref="A1:M129"/>
  <sheetViews>
    <sheetView workbookViewId="0">
      <selection activeCell="C15" sqref="C15"/>
    </sheetView>
  </sheetViews>
  <sheetFormatPr defaultRowHeight="14.5" x14ac:dyDescent="0.35"/>
  <cols>
    <col min="1" max="1" width="27.7265625" customWidth="1"/>
    <col min="2" max="2" width="22.7265625" customWidth="1"/>
    <col min="3" max="3" width="49.7265625" customWidth="1"/>
    <col min="4" max="4" width="16.7265625" customWidth="1"/>
    <col min="5" max="10" width="50.7265625" customWidth="1"/>
    <col min="11" max="11" width="27.7265625" customWidth="1"/>
    <col min="12" max="12" width="40.7265625" customWidth="1"/>
    <col min="13" max="13" width="20.7265625" customWidth="1"/>
  </cols>
  <sheetData>
    <row r="1" spans="1:13" ht="22.5" x14ac:dyDescent="0.35">
      <c r="A1" s="32" t="s">
        <v>0</v>
      </c>
      <c r="B1" s="32"/>
      <c r="C1" s="32"/>
      <c r="D1" s="32"/>
      <c r="E1" s="32"/>
      <c r="F1" s="32"/>
      <c r="G1" s="32"/>
      <c r="H1" s="32"/>
      <c r="I1" s="32"/>
      <c r="J1" s="32"/>
      <c r="K1" s="32"/>
      <c r="L1" s="32"/>
      <c r="M1" s="32"/>
    </row>
    <row r="2" spans="1:13" ht="15.5" x14ac:dyDescent="0.35">
      <c r="A2" s="33" t="s">
        <v>944</v>
      </c>
      <c r="B2" s="33"/>
      <c r="C2" s="33"/>
      <c r="D2" s="33"/>
      <c r="E2" s="33"/>
      <c r="F2" s="33"/>
      <c r="G2" s="33"/>
      <c r="H2" s="33"/>
      <c r="I2" s="33"/>
      <c r="J2" s="33"/>
      <c r="K2" s="33"/>
      <c r="L2" s="33"/>
      <c r="M2" s="33"/>
    </row>
    <row r="3" spans="1:13" x14ac:dyDescent="0.35">
      <c r="A3" s="31" t="s">
        <v>2</v>
      </c>
      <c r="B3" s="31"/>
      <c r="C3" s="31"/>
      <c r="D3" s="31"/>
      <c r="E3" s="31"/>
      <c r="F3" s="31"/>
      <c r="G3" s="31"/>
      <c r="H3" s="31"/>
      <c r="I3" s="31"/>
      <c r="J3" s="31"/>
      <c r="K3" s="31"/>
      <c r="L3" s="31"/>
      <c r="M3" s="31"/>
    </row>
    <row r="4" spans="1:13" x14ac:dyDescent="0.35">
      <c r="A4" s="31" t="s">
        <v>943</v>
      </c>
      <c r="B4" s="31"/>
      <c r="C4" s="31"/>
      <c r="D4" s="31"/>
      <c r="E4" s="31"/>
      <c r="F4" s="31"/>
      <c r="G4" s="31"/>
      <c r="H4" s="31"/>
      <c r="I4" s="31"/>
      <c r="J4" s="31"/>
      <c r="K4" s="31"/>
      <c r="L4" s="31"/>
      <c r="M4" s="31"/>
    </row>
    <row r="5" spans="1:13" x14ac:dyDescent="0.35">
      <c r="A5" s="31" t="s">
        <v>4</v>
      </c>
      <c r="B5" s="31"/>
      <c r="C5" s="31"/>
      <c r="D5" s="31"/>
      <c r="E5" s="31"/>
      <c r="F5" s="31"/>
      <c r="G5" s="31"/>
      <c r="H5" s="31"/>
      <c r="I5" s="31"/>
      <c r="J5" s="31"/>
      <c r="K5" s="31"/>
      <c r="L5" s="31"/>
      <c r="M5" s="31"/>
    </row>
    <row r="6" spans="1:13" x14ac:dyDescent="0.35">
      <c r="A6" s="31" t="s">
        <v>5</v>
      </c>
      <c r="B6" s="31"/>
      <c r="C6" s="31"/>
      <c r="D6" s="31"/>
      <c r="E6" s="31"/>
      <c r="F6" s="31"/>
      <c r="G6" s="31"/>
      <c r="H6" s="31"/>
      <c r="I6" s="31"/>
      <c r="J6" s="31"/>
      <c r="K6" s="31"/>
      <c r="L6" s="31"/>
      <c r="M6" s="31"/>
    </row>
    <row r="7" spans="1:13" x14ac:dyDescent="0.35">
      <c r="A7" s="1" t="s">
        <v>6</v>
      </c>
      <c r="B7" s="1" t="s">
        <v>7</v>
      </c>
      <c r="C7" s="1" t="s">
        <v>8</v>
      </c>
      <c r="D7" s="1" t="s">
        <v>9</v>
      </c>
      <c r="E7" s="1" t="s">
        <v>10</v>
      </c>
      <c r="F7" s="1" t="s">
        <v>11</v>
      </c>
      <c r="G7" s="1" t="s">
        <v>12</v>
      </c>
      <c r="H7" s="1" t="s">
        <v>13</v>
      </c>
      <c r="I7" s="1" t="s">
        <v>14</v>
      </c>
      <c r="J7" s="1" t="s">
        <v>15</v>
      </c>
      <c r="K7" s="1" t="s">
        <v>16</v>
      </c>
      <c r="L7" s="1" t="s">
        <v>17</v>
      </c>
      <c r="M7" s="1" t="s">
        <v>18</v>
      </c>
    </row>
    <row r="8" spans="1:13" x14ac:dyDescent="0.35">
      <c r="A8" s="2" t="s">
        <v>799</v>
      </c>
      <c r="B8" s="2" t="s">
        <v>59</v>
      </c>
      <c r="C8" s="2" t="s">
        <v>939</v>
      </c>
      <c r="D8" s="2" t="s">
        <v>22</v>
      </c>
      <c r="E8" s="2" t="s">
        <v>942</v>
      </c>
      <c r="F8" s="2" t="s">
        <v>941</v>
      </c>
      <c r="G8" s="2"/>
      <c r="H8" s="2" t="s">
        <v>940</v>
      </c>
      <c r="I8" s="2" t="s">
        <v>939</v>
      </c>
      <c r="J8" s="2"/>
      <c r="K8" s="2"/>
      <c r="L8" s="2"/>
      <c r="M8" s="3">
        <v>116</v>
      </c>
    </row>
    <row r="9" spans="1:13" x14ac:dyDescent="0.35">
      <c r="A9" s="2" t="s">
        <v>799</v>
      </c>
      <c r="B9" s="2" t="s">
        <v>59</v>
      </c>
      <c r="C9" s="2" t="s">
        <v>938</v>
      </c>
      <c r="D9" s="2" t="s">
        <v>22</v>
      </c>
      <c r="E9" s="2" t="s">
        <v>937</v>
      </c>
      <c r="F9" s="2" t="s">
        <v>936</v>
      </c>
      <c r="G9" s="2" t="s">
        <v>935</v>
      </c>
      <c r="H9" s="2" t="s">
        <v>934</v>
      </c>
      <c r="I9" s="2" t="s">
        <v>933</v>
      </c>
      <c r="J9" s="2"/>
      <c r="K9" s="2"/>
      <c r="L9" s="2"/>
      <c r="M9" s="3">
        <v>22</v>
      </c>
    </row>
    <row r="10" spans="1:13" x14ac:dyDescent="0.35">
      <c r="A10" s="2" t="s">
        <v>799</v>
      </c>
      <c r="B10" s="2" t="s">
        <v>59</v>
      </c>
      <c r="C10" s="2" t="s">
        <v>932</v>
      </c>
      <c r="D10" s="2" t="s">
        <v>22</v>
      </c>
      <c r="E10" s="2" t="s">
        <v>804</v>
      </c>
      <c r="F10" s="2" t="s">
        <v>803</v>
      </c>
      <c r="G10" s="2" t="s">
        <v>802</v>
      </c>
      <c r="H10" s="2" t="s">
        <v>801</v>
      </c>
      <c r="I10" s="2" t="s">
        <v>800</v>
      </c>
      <c r="J10" s="2"/>
      <c r="K10" s="2"/>
      <c r="L10" s="2"/>
      <c r="M10" s="3">
        <v>3</v>
      </c>
    </row>
    <row r="11" spans="1:13" x14ac:dyDescent="0.35">
      <c r="A11" s="2" t="s">
        <v>799</v>
      </c>
      <c r="B11" s="2" t="s">
        <v>59</v>
      </c>
      <c r="C11" s="2" t="s">
        <v>931</v>
      </c>
      <c r="D11" s="2" t="s">
        <v>22</v>
      </c>
      <c r="E11" s="2" t="s">
        <v>930</v>
      </c>
      <c r="F11" s="2" t="s">
        <v>929</v>
      </c>
      <c r="G11" s="2" t="s">
        <v>928</v>
      </c>
      <c r="H11" s="2" t="s">
        <v>927</v>
      </c>
      <c r="I11" s="2" t="s">
        <v>926</v>
      </c>
      <c r="J11" s="2"/>
      <c r="K11" s="2"/>
      <c r="L11" s="2"/>
      <c r="M11" s="3">
        <v>37</v>
      </c>
    </row>
    <row r="12" spans="1:13" x14ac:dyDescent="0.35">
      <c r="A12" s="2" t="s">
        <v>799</v>
      </c>
      <c r="B12" s="2" t="s">
        <v>59</v>
      </c>
      <c r="C12" s="2" t="s">
        <v>925</v>
      </c>
      <c r="D12" s="2" t="s">
        <v>22</v>
      </c>
      <c r="E12" s="2" t="s">
        <v>924</v>
      </c>
      <c r="F12" s="2" t="s">
        <v>923</v>
      </c>
      <c r="G12" s="2" t="s">
        <v>922</v>
      </c>
      <c r="H12" s="2" t="s">
        <v>921</v>
      </c>
      <c r="I12" s="2" t="s">
        <v>920</v>
      </c>
      <c r="J12" s="2"/>
      <c r="K12" s="2"/>
      <c r="L12" s="2"/>
      <c r="M12" s="3">
        <v>0</v>
      </c>
    </row>
    <row r="13" spans="1:13" x14ac:dyDescent="0.35">
      <c r="A13" s="2" t="s">
        <v>799</v>
      </c>
      <c r="B13" s="2" t="s">
        <v>59</v>
      </c>
      <c r="C13" s="2" t="s">
        <v>919</v>
      </c>
      <c r="D13" s="2" t="s">
        <v>22</v>
      </c>
      <c r="E13" s="2" t="s">
        <v>897</v>
      </c>
      <c r="F13" s="2" t="s">
        <v>896</v>
      </c>
      <c r="G13" s="2" t="s">
        <v>887</v>
      </c>
      <c r="H13" s="2" t="s">
        <v>886</v>
      </c>
      <c r="I13" s="2" t="s">
        <v>895</v>
      </c>
      <c r="J13" s="2"/>
      <c r="K13" s="2"/>
      <c r="L13" s="2"/>
      <c r="M13" s="3">
        <v>1</v>
      </c>
    </row>
    <row r="14" spans="1:13" x14ac:dyDescent="0.35">
      <c r="A14" s="2" t="s">
        <v>799</v>
      </c>
      <c r="B14" s="2" t="s">
        <v>59</v>
      </c>
      <c r="C14" s="2" t="s">
        <v>918</v>
      </c>
      <c r="D14" s="2" t="s">
        <v>22</v>
      </c>
      <c r="E14" s="2" t="s">
        <v>917</v>
      </c>
      <c r="F14" s="2" t="s">
        <v>916</v>
      </c>
      <c r="G14" s="2" t="s">
        <v>915</v>
      </c>
      <c r="H14" s="2" t="s">
        <v>914</v>
      </c>
      <c r="I14" s="2" t="s">
        <v>913</v>
      </c>
      <c r="J14" s="2"/>
      <c r="K14" s="2"/>
      <c r="L14" s="2"/>
      <c r="M14" s="3">
        <v>807</v>
      </c>
    </row>
    <row r="15" spans="1:13" x14ac:dyDescent="0.35">
      <c r="A15" s="2" t="s">
        <v>799</v>
      </c>
      <c r="B15" s="2" t="s">
        <v>59</v>
      </c>
      <c r="C15" s="2" t="s">
        <v>912</v>
      </c>
      <c r="D15" s="2" t="s">
        <v>22</v>
      </c>
      <c r="E15" s="2" t="s">
        <v>810</v>
      </c>
      <c r="F15" s="2" t="s">
        <v>809</v>
      </c>
      <c r="G15" s="2" t="s">
        <v>808</v>
      </c>
      <c r="H15" s="2" t="s">
        <v>807</v>
      </c>
      <c r="I15" s="2" t="s">
        <v>806</v>
      </c>
      <c r="J15" s="2"/>
      <c r="K15" s="2"/>
      <c r="L15" s="2"/>
      <c r="M15" s="3">
        <v>1</v>
      </c>
    </row>
    <row r="16" spans="1:13" x14ac:dyDescent="0.35">
      <c r="A16" s="2" t="s">
        <v>799</v>
      </c>
      <c r="B16" s="2" t="s">
        <v>59</v>
      </c>
      <c r="C16" s="2" t="s">
        <v>911</v>
      </c>
      <c r="D16" s="2" t="s">
        <v>61</v>
      </c>
      <c r="E16" s="2" t="s">
        <v>910</v>
      </c>
      <c r="F16" s="2" t="s">
        <v>909</v>
      </c>
      <c r="G16" s="2" t="s">
        <v>908</v>
      </c>
      <c r="H16" s="2" t="s">
        <v>907</v>
      </c>
      <c r="I16" s="2" t="s">
        <v>906</v>
      </c>
      <c r="J16" s="2"/>
      <c r="K16" s="2"/>
      <c r="L16" s="2"/>
      <c r="M16" s="3">
        <v>1124</v>
      </c>
    </row>
    <row r="17" spans="1:13" x14ac:dyDescent="0.35">
      <c r="A17" s="2" t="s">
        <v>799</v>
      </c>
      <c r="B17" s="2" t="s">
        <v>59</v>
      </c>
      <c r="C17" s="2" t="s">
        <v>905</v>
      </c>
      <c r="D17" s="2" t="s">
        <v>22</v>
      </c>
      <c r="E17" s="2"/>
      <c r="F17" s="2"/>
      <c r="G17" s="2" t="s">
        <v>862</v>
      </c>
      <c r="H17" s="2" t="s">
        <v>861</v>
      </c>
      <c r="I17" s="2" t="s">
        <v>904</v>
      </c>
      <c r="J17" s="2"/>
      <c r="K17" s="2"/>
      <c r="L17" s="2"/>
      <c r="M17" s="3">
        <v>141</v>
      </c>
    </row>
    <row r="18" spans="1:13" x14ac:dyDescent="0.35">
      <c r="A18" s="2" t="s">
        <v>799</v>
      </c>
      <c r="B18" s="2" t="s">
        <v>59</v>
      </c>
      <c r="C18" s="2" t="s">
        <v>903</v>
      </c>
      <c r="D18" s="2" t="s">
        <v>22</v>
      </c>
      <c r="E18" s="2" t="s">
        <v>902</v>
      </c>
      <c r="F18" s="2"/>
      <c r="G18" s="2" t="s">
        <v>901</v>
      </c>
      <c r="H18" s="2" t="s">
        <v>900</v>
      </c>
      <c r="I18" s="2" t="s">
        <v>899</v>
      </c>
      <c r="J18" s="2"/>
      <c r="K18" s="2"/>
      <c r="L18" s="2"/>
      <c r="M18" s="3">
        <v>5</v>
      </c>
    </row>
    <row r="19" spans="1:13" x14ac:dyDescent="0.35">
      <c r="A19" s="2" t="s">
        <v>799</v>
      </c>
      <c r="B19" s="2" t="s">
        <v>59</v>
      </c>
      <c r="C19" s="2" t="s">
        <v>898</v>
      </c>
      <c r="D19" s="2" t="s">
        <v>22</v>
      </c>
      <c r="E19" s="2" t="s">
        <v>897</v>
      </c>
      <c r="F19" s="2" t="s">
        <v>896</v>
      </c>
      <c r="G19" s="2" t="s">
        <v>887</v>
      </c>
      <c r="H19" s="2" t="s">
        <v>886</v>
      </c>
      <c r="I19" s="2" t="s">
        <v>895</v>
      </c>
      <c r="J19" s="2"/>
      <c r="K19" s="2"/>
      <c r="L19" s="2"/>
      <c r="M19" s="3">
        <v>276</v>
      </c>
    </row>
    <row r="20" spans="1:13" x14ac:dyDescent="0.35">
      <c r="A20" s="2" t="s">
        <v>799</v>
      </c>
      <c r="B20" s="2" t="s">
        <v>59</v>
      </c>
      <c r="C20" s="2" t="s">
        <v>894</v>
      </c>
      <c r="D20" s="2" t="s">
        <v>22</v>
      </c>
      <c r="E20" s="2" t="s">
        <v>893</v>
      </c>
      <c r="F20" s="2" t="s">
        <v>892</v>
      </c>
      <c r="G20" s="2"/>
      <c r="H20" s="2" t="s">
        <v>891</v>
      </c>
      <c r="I20" s="2" t="s">
        <v>890</v>
      </c>
      <c r="J20" s="2"/>
      <c r="K20" s="2"/>
      <c r="L20" s="2"/>
      <c r="M20" s="3">
        <v>49</v>
      </c>
    </row>
    <row r="21" spans="1:13" x14ac:dyDescent="0.35">
      <c r="A21" s="2" t="s">
        <v>799</v>
      </c>
      <c r="B21" s="2" t="s">
        <v>59</v>
      </c>
      <c r="C21" s="2" t="s">
        <v>889</v>
      </c>
      <c r="D21" s="2" t="s">
        <v>22</v>
      </c>
      <c r="E21" s="2" t="s">
        <v>816</v>
      </c>
      <c r="F21" s="2" t="s">
        <v>815</v>
      </c>
      <c r="G21" s="2" t="s">
        <v>814</v>
      </c>
      <c r="H21" s="2" t="s">
        <v>813</v>
      </c>
      <c r="I21" s="2" t="s">
        <v>812</v>
      </c>
      <c r="J21" s="2"/>
      <c r="K21" s="2"/>
      <c r="L21" s="2"/>
      <c r="M21" s="3">
        <v>87</v>
      </c>
    </row>
    <row r="22" spans="1:13" x14ac:dyDescent="0.35">
      <c r="A22" s="2" t="s">
        <v>799</v>
      </c>
      <c r="B22" s="2" t="s">
        <v>59</v>
      </c>
      <c r="C22" s="2" t="s">
        <v>888</v>
      </c>
      <c r="D22" s="2" t="s">
        <v>22</v>
      </c>
      <c r="E22" s="2"/>
      <c r="F22" s="2"/>
      <c r="G22" s="2" t="s">
        <v>887</v>
      </c>
      <c r="H22" s="2" t="s">
        <v>886</v>
      </c>
      <c r="I22" s="2" t="s">
        <v>885</v>
      </c>
      <c r="J22" s="2"/>
      <c r="K22" s="2"/>
      <c r="L22" s="2"/>
      <c r="M22" s="3">
        <v>44</v>
      </c>
    </row>
    <row r="23" spans="1:13" x14ac:dyDescent="0.35">
      <c r="A23" s="2" t="s">
        <v>799</v>
      </c>
      <c r="B23" s="2" t="s">
        <v>59</v>
      </c>
      <c r="C23" s="2" t="s">
        <v>884</v>
      </c>
      <c r="D23" s="2" t="s">
        <v>22</v>
      </c>
      <c r="E23" s="2" t="s">
        <v>876</v>
      </c>
      <c r="F23" s="2" t="s">
        <v>875</v>
      </c>
      <c r="G23" s="2" t="s">
        <v>874</v>
      </c>
      <c r="H23" s="2" t="s">
        <v>873</v>
      </c>
      <c r="I23" s="2" t="s">
        <v>872</v>
      </c>
      <c r="J23" s="2"/>
      <c r="K23" s="2"/>
      <c r="L23" s="2"/>
      <c r="M23" s="3">
        <v>58</v>
      </c>
    </row>
    <row r="24" spans="1:13" x14ac:dyDescent="0.35">
      <c r="A24" s="2" t="s">
        <v>799</v>
      </c>
      <c r="B24" s="2" t="s">
        <v>59</v>
      </c>
      <c r="C24" s="2" t="s">
        <v>883</v>
      </c>
      <c r="D24" s="2" t="s">
        <v>22</v>
      </c>
      <c r="E24" s="2" t="s">
        <v>882</v>
      </c>
      <c r="F24" s="2" t="s">
        <v>881</v>
      </c>
      <c r="G24" s="2" t="s">
        <v>880</v>
      </c>
      <c r="H24" s="2" t="s">
        <v>879</v>
      </c>
      <c r="I24" s="2" t="s">
        <v>878</v>
      </c>
      <c r="J24" s="2"/>
      <c r="K24" s="2"/>
      <c r="L24" s="2"/>
      <c r="M24" s="3">
        <v>22</v>
      </c>
    </row>
    <row r="25" spans="1:13" x14ac:dyDescent="0.35">
      <c r="A25" s="2" t="s">
        <v>799</v>
      </c>
      <c r="B25" s="2" t="s">
        <v>59</v>
      </c>
      <c r="C25" s="2" t="s">
        <v>877</v>
      </c>
      <c r="D25" s="2" t="s">
        <v>22</v>
      </c>
      <c r="E25" s="2" t="s">
        <v>876</v>
      </c>
      <c r="F25" s="2" t="s">
        <v>875</v>
      </c>
      <c r="G25" s="2" t="s">
        <v>874</v>
      </c>
      <c r="H25" s="2" t="s">
        <v>873</v>
      </c>
      <c r="I25" s="2" t="s">
        <v>872</v>
      </c>
      <c r="J25" s="2"/>
      <c r="K25" s="2"/>
      <c r="L25" s="2"/>
      <c r="M25" s="3">
        <v>8</v>
      </c>
    </row>
    <row r="26" spans="1:13" x14ac:dyDescent="0.35">
      <c r="A26" s="2" t="s">
        <v>799</v>
      </c>
      <c r="B26" s="2" t="s">
        <v>59</v>
      </c>
      <c r="C26" s="2" t="s">
        <v>871</v>
      </c>
      <c r="D26" s="2" t="s">
        <v>22</v>
      </c>
      <c r="E26" s="2" t="s">
        <v>870</v>
      </c>
      <c r="F26" s="2" t="s">
        <v>869</v>
      </c>
      <c r="G26" s="2" t="s">
        <v>868</v>
      </c>
      <c r="H26" s="2" t="s">
        <v>867</v>
      </c>
      <c r="I26" s="2" t="s">
        <v>866</v>
      </c>
      <c r="J26" s="2"/>
      <c r="K26" s="2"/>
      <c r="L26" s="2"/>
      <c r="M26" s="3">
        <v>3</v>
      </c>
    </row>
    <row r="27" spans="1:13" x14ac:dyDescent="0.35">
      <c r="A27" s="2" t="s">
        <v>799</v>
      </c>
      <c r="B27" s="2" t="s">
        <v>59</v>
      </c>
      <c r="C27" s="2" t="s">
        <v>865</v>
      </c>
      <c r="D27" s="2" t="s">
        <v>22</v>
      </c>
      <c r="E27" s="2" t="s">
        <v>864</v>
      </c>
      <c r="F27" s="2" t="s">
        <v>863</v>
      </c>
      <c r="G27" s="2" t="s">
        <v>862</v>
      </c>
      <c r="H27" s="2" t="s">
        <v>861</v>
      </c>
      <c r="I27" s="2" t="s">
        <v>860</v>
      </c>
      <c r="J27" s="2"/>
      <c r="K27" s="2"/>
      <c r="L27" s="2"/>
      <c r="M27" s="3">
        <v>394</v>
      </c>
    </row>
    <row r="28" spans="1:13" x14ac:dyDescent="0.35">
      <c r="A28" s="2" t="s">
        <v>799</v>
      </c>
      <c r="B28" s="2" t="s">
        <v>59</v>
      </c>
      <c r="C28" s="2" t="s">
        <v>859</v>
      </c>
      <c r="D28" s="2" t="s">
        <v>22</v>
      </c>
      <c r="E28" s="2" t="s">
        <v>858</v>
      </c>
      <c r="F28" s="2" t="s">
        <v>857</v>
      </c>
      <c r="G28" s="2" t="s">
        <v>856</v>
      </c>
      <c r="H28" s="2" t="s">
        <v>855</v>
      </c>
      <c r="I28" s="2" t="s">
        <v>854</v>
      </c>
      <c r="J28" s="2"/>
      <c r="K28" s="2"/>
      <c r="L28" s="2"/>
      <c r="M28" s="3">
        <v>4</v>
      </c>
    </row>
    <row r="29" spans="1:13" x14ac:dyDescent="0.35">
      <c r="A29" s="2" t="s">
        <v>799</v>
      </c>
      <c r="B29" s="2" t="s">
        <v>59</v>
      </c>
      <c r="C29" s="2" t="s">
        <v>853</v>
      </c>
      <c r="D29" s="2" t="s">
        <v>22</v>
      </c>
      <c r="E29" s="2" t="s">
        <v>852</v>
      </c>
      <c r="F29" s="2" t="s">
        <v>851</v>
      </c>
      <c r="G29" s="2" t="s">
        <v>850</v>
      </c>
      <c r="H29" s="2" t="s">
        <v>849</v>
      </c>
      <c r="I29" s="2" t="s">
        <v>848</v>
      </c>
      <c r="J29" s="2"/>
      <c r="K29" s="2"/>
      <c r="L29" s="2"/>
      <c r="M29" s="3">
        <v>17</v>
      </c>
    </row>
    <row r="30" spans="1:13" x14ac:dyDescent="0.35">
      <c r="A30" s="2" t="s">
        <v>799</v>
      </c>
      <c r="B30" s="2" t="s">
        <v>59</v>
      </c>
      <c r="C30" s="2" t="s">
        <v>847</v>
      </c>
      <c r="D30" s="2" t="s">
        <v>22</v>
      </c>
      <c r="E30" s="2" t="s">
        <v>846</v>
      </c>
      <c r="F30" s="2" t="s">
        <v>845</v>
      </c>
      <c r="G30" s="2" t="s">
        <v>844</v>
      </c>
      <c r="H30" s="2" t="s">
        <v>843</v>
      </c>
      <c r="I30" s="2" t="s">
        <v>842</v>
      </c>
      <c r="J30" s="2"/>
      <c r="K30" s="2"/>
      <c r="L30" s="2"/>
      <c r="M30" s="3">
        <v>13</v>
      </c>
    </row>
    <row r="31" spans="1:13" x14ac:dyDescent="0.35">
      <c r="A31" s="2" t="s">
        <v>799</v>
      </c>
      <c r="B31" s="2" t="s">
        <v>59</v>
      </c>
      <c r="C31" s="2" t="s">
        <v>841</v>
      </c>
      <c r="D31" s="2" t="s">
        <v>22</v>
      </c>
      <c r="E31" s="2" t="s">
        <v>840</v>
      </c>
      <c r="F31" s="2" t="s">
        <v>839</v>
      </c>
      <c r="G31" s="2" t="s">
        <v>838</v>
      </c>
      <c r="H31" s="2" t="s">
        <v>837</v>
      </c>
      <c r="I31" s="2" t="s">
        <v>836</v>
      </c>
      <c r="J31" s="2"/>
      <c r="K31" s="2"/>
      <c r="L31" s="2"/>
      <c r="M31" s="3">
        <v>169</v>
      </c>
    </row>
    <row r="32" spans="1:13" x14ac:dyDescent="0.35">
      <c r="A32" s="2" t="s">
        <v>799</v>
      </c>
      <c r="B32" s="2" t="s">
        <v>59</v>
      </c>
      <c r="C32" s="2" t="s">
        <v>835</v>
      </c>
      <c r="D32" s="2" t="s">
        <v>22</v>
      </c>
      <c r="E32" s="2" t="s">
        <v>827</v>
      </c>
      <c r="F32" s="2" t="s">
        <v>826</v>
      </c>
      <c r="G32" s="2" t="s">
        <v>825</v>
      </c>
      <c r="H32" s="2" t="s">
        <v>824</v>
      </c>
      <c r="I32" s="2" t="s">
        <v>823</v>
      </c>
      <c r="J32" s="2"/>
      <c r="K32" s="2"/>
      <c r="L32" s="2"/>
      <c r="M32" s="3">
        <v>5</v>
      </c>
    </row>
    <row r="33" spans="1:13" x14ac:dyDescent="0.35">
      <c r="A33" s="2" t="s">
        <v>799</v>
      </c>
      <c r="B33" s="2" t="s">
        <v>59</v>
      </c>
      <c r="C33" s="2" t="s">
        <v>834</v>
      </c>
      <c r="D33" s="2" t="s">
        <v>22</v>
      </c>
      <c r="E33" s="2" t="s">
        <v>833</v>
      </c>
      <c r="F33" s="2" t="s">
        <v>832</v>
      </c>
      <c r="G33" s="2" t="s">
        <v>831</v>
      </c>
      <c r="H33" s="2" t="s">
        <v>830</v>
      </c>
      <c r="I33" s="2" t="s">
        <v>829</v>
      </c>
      <c r="J33" s="2"/>
      <c r="K33" s="2"/>
      <c r="L33" s="2"/>
      <c r="M33" s="3">
        <v>5</v>
      </c>
    </row>
    <row r="34" spans="1:13" x14ac:dyDescent="0.35">
      <c r="A34" s="2" t="s">
        <v>799</v>
      </c>
      <c r="B34" s="2" t="s">
        <v>59</v>
      </c>
      <c r="C34" s="2" t="s">
        <v>828</v>
      </c>
      <c r="D34" s="2" t="s">
        <v>22</v>
      </c>
      <c r="E34" s="2" t="s">
        <v>827</v>
      </c>
      <c r="F34" s="2" t="s">
        <v>826</v>
      </c>
      <c r="G34" s="2" t="s">
        <v>825</v>
      </c>
      <c r="H34" s="2" t="s">
        <v>824</v>
      </c>
      <c r="I34" s="2" t="s">
        <v>823</v>
      </c>
      <c r="J34" s="2"/>
      <c r="K34" s="2"/>
      <c r="L34" s="2"/>
      <c r="M34" s="3">
        <v>21</v>
      </c>
    </row>
    <row r="35" spans="1:13" x14ac:dyDescent="0.35">
      <c r="A35" s="2" t="s">
        <v>799</v>
      </c>
      <c r="B35" s="2" t="s">
        <v>59</v>
      </c>
      <c r="C35" s="2" t="s">
        <v>822</v>
      </c>
      <c r="D35" s="2" t="s">
        <v>22</v>
      </c>
      <c r="E35" s="2" t="s">
        <v>821</v>
      </c>
      <c r="F35" s="2"/>
      <c r="G35" s="2" t="s">
        <v>820</v>
      </c>
      <c r="H35" s="2" t="s">
        <v>819</v>
      </c>
      <c r="I35" s="2" t="s">
        <v>818</v>
      </c>
      <c r="J35" s="2"/>
      <c r="K35" s="2"/>
      <c r="L35" s="2"/>
      <c r="M35" s="3">
        <v>5</v>
      </c>
    </row>
    <row r="36" spans="1:13" x14ac:dyDescent="0.35">
      <c r="A36" s="2" t="s">
        <v>799</v>
      </c>
      <c r="B36" s="2" t="s">
        <v>59</v>
      </c>
      <c r="C36" s="2" t="s">
        <v>817</v>
      </c>
      <c r="D36" s="2" t="s">
        <v>22</v>
      </c>
      <c r="E36" s="2" t="s">
        <v>816</v>
      </c>
      <c r="F36" s="2" t="s">
        <v>815</v>
      </c>
      <c r="G36" s="2" t="s">
        <v>814</v>
      </c>
      <c r="H36" s="2" t="s">
        <v>813</v>
      </c>
      <c r="I36" s="2" t="s">
        <v>812</v>
      </c>
      <c r="J36" s="2"/>
      <c r="K36" s="2"/>
      <c r="L36" s="2"/>
      <c r="M36" s="3">
        <v>0</v>
      </c>
    </row>
    <row r="37" spans="1:13" x14ac:dyDescent="0.35">
      <c r="A37" s="2" t="s">
        <v>799</v>
      </c>
      <c r="B37" s="2" t="s">
        <v>59</v>
      </c>
      <c r="C37" s="2" t="s">
        <v>811</v>
      </c>
      <c r="D37" s="2" t="s">
        <v>22</v>
      </c>
      <c r="E37" s="2" t="s">
        <v>810</v>
      </c>
      <c r="F37" s="2" t="s">
        <v>809</v>
      </c>
      <c r="G37" s="2" t="s">
        <v>808</v>
      </c>
      <c r="H37" s="2" t="s">
        <v>807</v>
      </c>
      <c r="I37" s="2" t="s">
        <v>806</v>
      </c>
      <c r="J37" s="2"/>
      <c r="K37" s="2"/>
      <c r="L37" s="2"/>
      <c r="M37" s="3">
        <v>38</v>
      </c>
    </row>
    <row r="38" spans="1:13" x14ac:dyDescent="0.35">
      <c r="A38" s="2" t="s">
        <v>799</v>
      </c>
      <c r="B38" s="2" t="s">
        <v>59</v>
      </c>
      <c r="C38" s="2" t="s">
        <v>805</v>
      </c>
      <c r="D38" s="2" t="s">
        <v>22</v>
      </c>
      <c r="E38" s="2" t="s">
        <v>804</v>
      </c>
      <c r="F38" s="2" t="s">
        <v>803</v>
      </c>
      <c r="G38" s="2" t="s">
        <v>802</v>
      </c>
      <c r="H38" s="2" t="s">
        <v>801</v>
      </c>
      <c r="I38" s="2" t="s">
        <v>800</v>
      </c>
      <c r="J38" s="2"/>
      <c r="K38" s="2"/>
      <c r="L38" s="2"/>
      <c r="M38" s="3">
        <v>8</v>
      </c>
    </row>
    <row r="39" spans="1:13" x14ac:dyDescent="0.35">
      <c r="A39" s="2" t="s">
        <v>799</v>
      </c>
      <c r="B39" s="2" t="s">
        <v>59</v>
      </c>
      <c r="C39" s="2" t="s">
        <v>798</v>
      </c>
      <c r="D39" s="2" t="s">
        <v>22</v>
      </c>
      <c r="E39" s="2" t="s">
        <v>797</v>
      </c>
      <c r="F39" s="2"/>
      <c r="G39" s="2" t="s">
        <v>796</v>
      </c>
      <c r="H39" s="2" t="s">
        <v>795</v>
      </c>
      <c r="I39" s="2" t="s">
        <v>794</v>
      </c>
      <c r="J39" s="2"/>
      <c r="K39" s="2"/>
      <c r="L39" s="2"/>
      <c r="M39" s="3">
        <v>542</v>
      </c>
    </row>
    <row r="40" spans="1:13" x14ac:dyDescent="0.35">
      <c r="A40" s="2" t="s">
        <v>783</v>
      </c>
      <c r="B40" s="2" t="s">
        <v>782</v>
      </c>
      <c r="C40" s="2" t="s">
        <v>793</v>
      </c>
      <c r="D40" s="2" t="s">
        <v>22</v>
      </c>
      <c r="E40" s="2" t="s">
        <v>792</v>
      </c>
      <c r="F40" s="2" t="s">
        <v>791</v>
      </c>
      <c r="G40" s="2" t="s">
        <v>790</v>
      </c>
      <c r="H40" s="2"/>
      <c r="I40" s="2"/>
      <c r="J40" s="2"/>
      <c r="K40" s="2"/>
      <c r="L40" s="2"/>
      <c r="M40" s="3">
        <v>41</v>
      </c>
    </row>
    <row r="41" spans="1:13" x14ac:dyDescent="0.35">
      <c r="A41" s="2" t="s">
        <v>783</v>
      </c>
      <c r="B41" s="2" t="s">
        <v>782</v>
      </c>
      <c r="C41" s="2" t="s">
        <v>789</v>
      </c>
      <c r="D41" s="2" t="s">
        <v>22</v>
      </c>
      <c r="E41" s="2" t="s">
        <v>788</v>
      </c>
      <c r="F41" s="2" t="s">
        <v>787</v>
      </c>
      <c r="G41" s="2" t="s">
        <v>786</v>
      </c>
      <c r="H41" s="2" t="s">
        <v>785</v>
      </c>
      <c r="I41" s="2" t="s">
        <v>784</v>
      </c>
      <c r="J41" s="2"/>
      <c r="K41" s="2"/>
      <c r="L41" s="2"/>
      <c r="M41" s="3">
        <v>94</v>
      </c>
    </row>
    <row r="42" spans="1:13" x14ac:dyDescent="0.35">
      <c r="A42" s="2" t="s">
        <v>783</v>
      </c>
      <c r="B42" s="2" t="s">
        <v>782</v>
      </c>
      <c r="C42" s="2" t="s">
        <v>781</v>
      </c>
      <c r="D42" s="2" t="s">
        <v>22</v>
      </c>
      <c r="E42" s="2" t="s">
        <v>780</v>
      </c>
      <c r="F42" s="2" t="s">
        <v>779</v>
      </c>
      <c r="G42" s="2" t="s">
        <v>778</v>
      </c>
      <c r="H42" s="2" t="s">
        <v>777</v>
      </c>
      <c r="I42" s="2" t="s">
        <v>776</v>
      </c>
      <c r="J42" s="2"/>
      <c r="K42" s="2"/>
      <c r="L42" s="2"/>
      <c r="M42" s="3">
        <v>73</v>
      </c>
    </row>
    <row r="43" spans="1:13" x14ac:dyDescent="0.35">
      <c r="A43" s="2" t="s">
        <v>58</v>
      </c>
      <c r="B43" s="2" t="s">
        <v>59</v>
      </c>
      <c r="C43" s="2" t="s">
        <v>775</v>
      </c>
      <c r="D43" s="2" t="s">
        <v>22</v>
      </c>
      <c r="E43" s="2" t="s">
        <v>774</v>
      </c>
      <c r="F43" s="2" t="s">
        <v>774</v>
      </c>
      <c r="G43" s="2" t="s">
        <v>624</v>
      </c>
      <c r="H43" s="2" t="s">
        <v>623</v>
      </c>
      <c r="I43" s="2" t="s">
        <v>622</v>
      </c>
      <c r="J43" s="2"/>
      <c r="K43" s="2"/>
      <c r="L43" s="2"/>
      <c r="M43" s="3">
        <v>147</v>
      </c>
    </row>
    <row r="44" spans="1:13" x14ac:dyDescent="0.35">
      <c r="A44" s="2" t="s">
        <v>58</v>
      </c>
      <c r="B44" s="2" t="s">
        <v>59</v>
      </c>
      <c r="C44" s="2" t="s">
        <v>773</v>
      </c>
      <c r="D44" s="2" t="s">
        <v>22</v>
      </c>
      <c r="E44" s="2" t="s">
        <v>772</v>
      </c>
      <c r="F44" s="2" t="s">
        <v>772</v>
      </c>
      <c r="G44" s="2" t="s">
        <v>771</v>
      </c>
      <c r="H44" s="2" t="s">
        <v>770</v>
      </c>
      <c r="I44" s="2" t="s">
        <v>769</v>
      </c>
      <c r="J44" s="2"/>
      <c r="K44" s="2"/>
      <c r="L44" s="2"/>
      <c r="M44" s="3">
        <v>2677</v>
      </c>
    </row>
    <row r="45" spans="1:13" x14ac:dyDescent="0.35">
      <c r="A45" s="2" t="s">
        <v>58</v>
      </c>
      <c r="B45" s="2" t="s">
        <v>59</v>
      </c>
      <c r="C45" s="2" t="s">
        <v>768</v>
      </c>
      <c r="D45" s="2" t="s">
        <v>61</v>
      </c>
      <c r="E45" s="2" t="s">
        <v>767</v>
      </c>
      <c r="F45" s="2" t="s">
        <v>767</v>
      </c>
      <c r="G45" s="2" t="s">
        <v>766</v>
      </c>
      <c r="H45" s="2" t="s">
        <v>765</v>
      </c>
      <c r="I45" s="2" t="s">
        <v>764</v>
      </c>
      <c r="J45" s="2"/>
      <c r="K45" s="2"/>
      <c r="L45" s="2"/>
      <c r="M45" s="3">
        <v>1345</v>
      </c>
    </row>
    <row r="46" spans="1:13" x14ac:dyDescent="0.35">
      <c r="A46" s="2" t="s">
        <v>58</v>
      </c>
      <c r="B46" s="2" t="s">
        <v>59</v>
      </c>
      <c r="C46" s="2" t="s">
        <v>763</v>
      </c>
      <c r="D46" s="2" t="s">
        <v>22</v>
      </c>
      <c r="E46" s="2" t="s">
        <v>762</v>
      </c>
      <c r="F46" s="2" t="s">
        <v>761</v>
      </c>
      <c r="G46" s="2"/>
      <c r="H46" s="2" t="s">
        <v>760</v>
      </c>
      <c r="I46" s="2" t="s">
        <v>759</v>
      </c>
      <c r="J46" s="2"/>
      <c r="K46" s="2" t="s">
        <v>621</v>
      </c>
      <c r="L46" s="2" t="s">
        <v>620</v>
      </c>
      <c r="M46" s="3">
        <v>170</v>
      </c>
    </row>
    <row r="47" spans="1:13" x14ac:dyDescent="0.35">
      <c r="A47" s="2" t="s">
        <v>58</v>
      </c>
      <c r="B47" s="2" t="s">
        <v>59</v>
      </c>
      <c r="C47" s="2" t="s">
        <v>758</v>
      </c>
      <c r="D47" s="2" t="s">
        <v>61</v>
      </c>
      <c r="E47" s="2" t="s">
        <v>757</v>
      </c>
      <c r="F47" s="2" t="s">
        <v>757</v>
      </c>
      <c r="G47" s="2" t="s">
        <v>756</v>
      </c>
      <c r="H47" s="2" t="s">
        <v>755</v>
      </c>
      <c r="I47" s="2" t="s">
        <v>754</v>
      </c>
      <c r="J47" s="2"/>
      <c r="K47" s="2"/>
      <c r="L47" s="2"/>
      <c r="M47" s="3">
        <v>62</v>
      </c>
    </row>
    <row r="48" spans="1:13" x14ac:dyDescent="0.35">
      <c r="A48" s="2" t="s">
        <v>58</v>
      </c>
      <c r="B48" s="2" t="s">
        <v>59</v>
      </c>
      <c r="C48" s="2" t="s">
        <v>753</v>
      </c>
      <c r="D48" s="2" t="s">
        <v>22</v>
      </c>
      <c r="E48" s="2" t="s">
        <v>752</v>
      </c>
      <c r="F48" s="2" t="s">
        <v>752</v>
      </c>
      <c r="G48" s="2" t="s">
        <v>751</v>
      </c>
      <c r="H48" s="2" t="s">
        <v>750</v>
      </c>
      <c r="I48" s="2" t="s">
        <v>749</v>
      </c>
      <c r="J48" s="2"/>
      <c r="K48" s="2"/>
      <c r="L48" s="2"/>
      <c r="M48" s="3">
        <v>2770</v>
      </c>
    </row>
    <row r="49" spans="1:13" x14ac:dyDescent="0.35">
      <c r="A49" s="2" t="s">
        <v>58</v>
      </c>
      <c r="B49" s="2" t="s">
        <v>59</v>
      </c>
      <c r="C49" s="2" t="s">
        <v>748</v>
      </c>
      <c r="D49" s="2" t="s">
        <v>61</v>
      </c>
      <c r="E49" s="2" t="s">
        <v>747</v>
      </c>
      <c r="F49" s="2" t="s">
        <v>746</v>
      </c>
      <c r="G49" s="2" t="s">
        <v>745</v>
      </c>
      <c r="H49" s="2" t="s">
        <v>744</v>
      </c>
      <c r="I49" s="2" t="s">
        <v>743</v>
      </c>
      <c r="J49" s="2"/>
      <c r="K49" s="2"/>
      <c r="L49" s="2"/>
      <c r="M49" s="3">
        <v>4767</v>
      </c>
    </row>
    <row r="50" spans="1:13" x14ac:dyDescent="0.35">
      <c r="A50" s="2" t="s">
        <v>58</v>
      </c>
      <c r="B50" s="2" t="s">
        <v>59</v>
      </c>
      <c r="C50" s="2" t="s">
        <v>742</v>
      </c>
      <c r="D50" s="2" t="s">
        <v>61</v>
      </c>
      <c r="E50" s="2" t="s">
        <v>557</v>
      </c>
      <c r="F50" s="2" t="s">
        <v>557</v>
      </c>
      <c r="G50" s="2" t="s">
        <v>556</v>
      </c>
      <c r="H50" s="2" t="s">
        <v>555</v>
      </c>
      <c r="I50" s="2" t="s">
        <v>741</v>
      </c>
      <c r="J50" s="2"/>
      <c r="K50" s="2" t="s">
        <v>740</v>
      </c>
      <c r="L50" s="2" t="s">
        <v>739</v>
      </c>
      <c r="M50" s="3">
        <v>1762</v>
      </c>
    </row>
    <row r="51" spans="1:13" x14ac:dyDescent="0.35">
      <c r="A51" s="2" t="s">
        <v>58</v>
      </c>
      <c r="B51" s="2" t="s">
        <v>59</v>
      </c>
      <c r="C51" s="2" t="s">
        <v>738</v>
      </c>
      <c r="D51" s="2" t="s">
        <v>61</v>
      </c>
      <c r="E51" s="2" t="s">
        <v>361</v>
      </c>
      <c r="F51" s="2" t="s">
        <v>361</v>
      </c>
      <c r="G51" s="2" t="s">
        <v>737</v>
      </c>
      <c r="H51" s="2" t="s">
        <v>736</v>
      </c>
      <c r="I51" s="2" t="s">
        <v>735</v>
      </c>
      <c r="J51" s="2"/>
      <c r="K51" s="2"/>
      <c r="L51" s="2"/>
      <c r="M51" s="3">
        <v>158</v>
      </c>
    </row>
    <row r="52" spans="1:13" x14ac:dyDescent="0.35">
      <c r="A52" s="2" t="s">
        <v>58</v>
      </c>
      <c r="B52" s="2" t="s">
        <v>59</v>
      </c>
      <c r="C52" s="2" t="s">
        <v>734</v>
      </c>
      <c r="D52" s="2" t="s">
        <v>22</v>
      </c>
      <c r="E52" s="2" t="s">
        <v>601</v>
      </c>
      <c r="F52" s="2" t="s">
        <v>600</v>
      </c>
      <c r="G52" s="2" t="s">
        <v>599</v>
      </c>
      <c r="H52" s="2" t="s">
        <v>598</v>
      </c>
      <c r="I52" s="2" t="s">
        <v>733</v>
      </c>
      <c r="J52" s="2"/>
      <c r="K52" s="2"/>
      <c r="L52" s="2"/>
      <c r="M52" s="3">
        <v>136</v>
      </c>
    </row>
    <row r="53" spans="1:13" x14ac:dyDescent="0.35">
      <c r="A53" s="2" t="s">
        <v>58</v>
      </c>
      <c r="B53" s="2" t="s">
        <v>59</v>
      </c>
      <c r="C53" s="2" t="s">
        <v>732</v>
      </c>
      <c r="D53" s="2" t="s">
        <v>22</v>
      </c>
      <c r="E53" s="2" t="s">
        <v>731</v>
      </c>
      <c r="F53" s="2" t="s">
        <v>731</v>
      </c>
      <c r="G53" s="2" t="s">
        <v>730</v>
      </c>
      <c r="H53" s="2" t="s">
        <v>729</v>
      </c>
      <c r="I53" s="2" t="s">
        <v>728</v>
      </c>
      <c r="J53" s="2"/>
      <c r="K53" s="2"/>
      <c r="L53" s="2"/>
      <c r="M53" s="3">
        <v>51</v>
      </c>
    </row>
    <row r="54" spans="1:13" x14ac:dyDescent="0.35">
      <c r="A54" s="2" t="s">
        <v>58</v>
      </c>
      <c r="B54" s="2" t="s">
        <v>59</v>
      </c>
      <c r="C54" s="2" t="s">
        <v>727</v>
      </c>
      <c r="D54" s="2" t="s">
        <v>61</v>
      </c>
      <c r="E54" s="2" t="s">
        <v>726</v>
      </c>
      <c r="F54" s="2" t="s">
        <v>726</v>
      </c>
      <c r="G54" s="2" t="s">
        <v>630</v>
      </c>
      <c r="H54" s="2" t="s">
        <v>725</v>
      </c>
      <c r="I54" s="2" t="s">
        <v>724</v>
      </c>
      <c r="J54" s="2"/>
      <c r="K54" s="2"/>
      <c r="L54" s="2"/>
      <c r="M54" s="3">
        <v>1164</v>
      </c>
    </row>
    <row r="55" spans="1:13" x14ac:dyDescent="0.35">
      <c r="A55" s="2" t="s">
        <v>58</v>
      </c>
      <c r="B55" s="2" t="s">
        <v>59</v>
      </c>
      <c r="C55" s="2" t="s">
        <v>723</v>
      </c>
      <c r="D55" s="2" t="s">
        <v>61</v>
      </c>
      <c r="E55" s="2" t="s">
        <v>722</v>
      </c>
      <c r="F55" s="2" t="s">
        <v>722</v>
      </c>
      <c r="G55" s="2" t="s">
        <v>721</v>
      </c>
      <c r="H55" s="2" t="s">
        <v>720</v>
      </c>
      <c r="I55" s="2" t="s">
        <v>719</v>
      </c>
      <c r="J55" s="2"/>
      <c r="K55" s="2"/>
      <c r="L55" s="2"/>
      <c r="M55" s="3">
        <v>4</v>
      </c>
    </row>
    <row r="56" spans="1:13" x14ac:dyDescent="0.35">
      <c r="A56" s="2" t="s">
        <v>58</v>
      </c>
      <c r="B56" s="2" t="s">
        <v>59</v>
      </c>
      <c r="C56" s="2" t="s">
        <v>718</v>
      </c>
      <c r="D56" s="2" t="s">
        <v>22</v>
      </c>
      <c r="E56" s="2" t="s">
        <v>717</v>
      </c>
      <c r="F56" s="2" t="s">
        <v>716</v>
      </c>
      <c r="G56" s="2"/>
      <c r="H56" s="2" t="s">
        <v>715</v>
      </c>
      <c r="I56" s="2" t="s">
        <v>714</v>
      </c>
      <c r="J56" s="2"/>
      <c r="K56" s="2" t="s">
        <v>621</v>
      </c>
      <c r="L56" s="2"/>
      <c r="M56" s="3">
        <v>117</v>
      </c>
    </row>
    <row r="57" spans="1:13" x14ac:dyDescent="0.35">
      <c r="A57" s="2" t="s">
        <v>58</v>
      </c>
      <c r="B57" s="2" t="s">
        <v>59</v>
      </c>
      <c r="C57" s="2" t="s">
        <v>713</v>
      </c>
      <c r="D57" s="2" t="s">
        <v>22</v>
      </c>
      <c r="E57" s="2" t="s">
        <v>712</v>
      </c>
      <c r="F57" s="2" t="s">
        <v>712</v>
      </c>
      <c r="G57" s="2" t="s">
        <v>711</v>
      </c>
      <c r="H57" s="2" t="s">
        <v>710</v>
      </c>
      <c r="I57" s="2" t="s">
        <v>709</v>
      </c>
      <c r="J57" s="2"/>
      <c r="K57" s="2"/>
      <c r="L57" s="2"/>
      <c r="M57" s="3">
        <v>494</v>
      </c>
    </row>
    <row r="58" spans="1:13" x14ac:dyDescent="0.35">
      <c r="A58" s="2" t="s">
        <v>58</v>
      </c>
      <c r="B58" s="2" t="s">
        <v>59</v>
      </c>
      <c r="C58" s="2" t="s">
        <v>708</v>
      </c>
      <c r="D58" s="2" t="s">
        <v>22</v>
      </c>
      <c r="E58" s="2" t="s">
        <v>707</v>
      </c>
      <c r="F58" s="2" t="s">
        <v>707</v>
      </c>
      <c r="G58" s="2" t="s">
        <v>599</v>
      </c>
      <c r="H58" s="2" t="s">
        <v>706</v>
      </c>
      <c r="I58" s="2" t="s">
        <v>705</v>
      </c>
      <c r="J58" s="2"/>
      <c r="K58" s="2"/>
      <c r="L58" s="2"/>
      <c r="M58" s="3">
        <v>3</v>
      </c>
    </row>
    <row r="59" spans="1:13" x14ac:dyDescent="0.35">
      <c r="A59" s="2" t="s">
        <v>58</v>
      </c>
      <c r="B59" s="2" t="s">
        <v>59</v>
      </c>
      <c r="C59" s="2" t="s">
        <v>704</v>
      </c>
      <c r="D59" s="2" t="s">
        <v>22</v>
      </c>
      <c r="E59" s="2" t="s">
        <v>703</v>
      </c>
      <c r="F59" s="2" t="s">
        <v>703</v>
      </c>
      <c r="G59" s="2" t="s">
        <v>624</v>
      </c>
      <c r="H59" s="2" t="s">
        <v>623</v>
      </c>
      <c r="I59" s="2" t="s">
        <v>622</v>
      </c>
      <c r="J59" s="2"/>
      <c r="K59" s="2"/>
      <c r="L59" s="2"/>
      <c r="M59" s="3">
        <v>43</v>
      </c>
    </row>
    <row r="60" spans="1:13" x14ac:dyDescent="0.35">
      <c r="A60" s="2" t="s">
        <v>58</v>
      </c>
      <c r="B60" s="2" t="s">
        <v>59</v>
      </c>
      <c r="C60" s="2" t="s">
        <v>702</v>
      </c>
      <c r="D60" s="2" t="s">
        <v>22</v>
      </c>
      <c r="E60" s="2" t="s">
        <v>701</v>
      </c>
      <c r="F60" s="2" t="s">
        <v>700</v>
      </c>
      <c r="G60" s="2"/>
      <c r="H60" s="2" t="s">
        <v>699</v>
      </c>
      <c r="I60" s="2" t="s">
        <v>698</v>
      </c>
      <c r="J60" s="2"/>
      <c r="K60" s="2" t="s">
        <v>621</v>
      </c>
      <c r="L60" s="2" t="s">
        <v>620</v>
      </c>
      <c r="M60" s="3">
        <v>175</v>
      </c>
    </row>
    <row r="61" spans="1:13" x14ac:dyDescent="0.35">
      <c r="A61" s="2" t="s">
        <v>58</v>
      </c>
      <c r="B61" s="2" t="s">
        <v>59</v>
      </c>
      <c r="C61" s="2" t="s">
        <v>697</v>
      </c>
      <c r="D61" s="2" t="s">
        <v>61</v>
      </c>
      <c r="E61" s="2" t="s">
        <v>696</v>
      </c>
      <c r="F61" s="2" t="s">
        <v>695</v>
      </c>
      <c r="G61" s="2" t="s">
        <v>630</v>
      </c>
      <c r="H61" s="2" t="s">
        <v>629</v>
      </c>
      <c r="I61" s="2" t="s">
        <v>628</v>
      </c>
      <c r="J61" s="2" t="s">
        <v>627</v>
      </c>
      <c r="K61" s="2"/>
      <c r="L61" s="2"/>
      <c r="M61" s="3">
        <v>2181</v>
      </c>
    </row>
    <row r="62" spans="1:13" x14ac:dyDescent="0.35">
      <c r="A62" s="2" t="s">
        <v>58</v>
      </c>
      <c r="B62" s="2" t="s">
        <v>59</v>
      </c>
      <c r="C62" s="2" t="s">
        <v>694</v>
      </c>
      <c r="D62" s="2" t="s">
        <v>22</v>
      </c>
      <c r="E62" s="2" t="s">
        <v>693</v>
      </c>
      <c r="F62" s="2" t="s">
        <v>693</v>
      </c>
      <c r="G62" s="2" t="s">
        <v>692</v>
      </c>
      <c r="H62" s="2" t="s">
        <v>691</v>
      </c>
      <c r="I62" s="2" t="s">
        <v>690</v>
      </c>
      <c r="J62" s="2"/>
      <c r="K62" s="2"/>
      <c r="L62" s="2"/>
      <c r="M62" s="3">
        <v>501</v>
      </c>
    </row>
    <row r="63" spans="1:13" x14ac:dyDescent="0.35">
      <c r="A63" s="2" t="s">
        <v>58</v>
      </c>
      <c r="B63" s="2" t="s">
        <v>59</v>
      </c>
      <c r="C63" s="2" t="s">
        <v>689</v>
      </c>
      <c r="D63" s="2" t="s">
        <v>22</v>
      </c>
      <c r="E63" s="2" t="s">
        <v>688</v>
      </c>
      <c r="F63" s="2" t="s">
        <v>687</v>
      </c>
      <c r="G63" s="2" t="s">
        <v>686</v>
      </c>
      <c r="H63" s="2" t="s">
        <v>685</v>
      </c>
      <c r="I63" s="2" t="s">
        <v>684</v>
      </c>
      <c r="J63" s="2"/>
      <c r="K63" s="2"/>
      <c r="L63" s="2"/>
      <c r="M63" s="3">
        <v>1054</v>
      </c>
    </row>
    <row r="64" spans="1:13" x14ac:dyDescent="0.35">
      <c r="A64" s="2" t="s">
        <v>58</v>
      </c>
      <c r="B64" s="2" t="s">
        <v>59</v>
      </c>
      <c r="C64" s="2" t="s">
        <v>683</v>
      </c>
      <c r="D64" s="2" t="s">
        <v>22</v>
      </c>
      <c r="E64" s="2" t="s">
        <v>682</v>
      </c>
      <c r="F64" s="2" t="s">
        <v>682</v>
      </c>
      <c r="G64" s="2" t="s">
        <v>681</v>
      </c>
      <c r="H64" s="2" t="s">
        <v>680</v>
      </c>
      <c r="I64" s="2" t="s">
        <v>679</v>
      </c>
      <c r="J64" s="2"/>
      <c r="K64" s="2"/>
      <c r="L64" s="2"/>
      <c r="M64" s="3">
        <v>5152</v>
      </c>
    </row>
    <row r="65" spans="1:13" x14ac:dyDescent="0.35">
      <c r="A65" s="2" t="s">
        <v>58</v>
      </c>
      <c r="B65" s="2" t="s">
        <v>59</v>
      </c>
      <c r="C65" s="2" t="s">
        <v>678</v>
      </c>
      <c r="D65" s="2" t="s">
        <v>22</v>
      </c>
      <c r="E65" s="2" t="s">
        <v>601</v>
      </c>
      <c r="F65" s="2" t="s">
        <v>600</v>
      </c>
      <c r="G65" s="2" t="s">
        <v>599</v>
      </c>
      <c r="H65" s="2" t="s">
        <v>598</v>
      </c>
      <c r="I65" s="2" t="s">
        <v>677</v>
      </c>
      <c r="J65" s="2"/>
      <c r="K65" s="2"/>
      <c r="L65" s="2"/>
      <c r="M65" s="3">
        <v>177</v>
      </c>
    </row>
    <row r="66" spans="1:13" x14ac:dyDescent="0.35">
      <c r="A66" s="2" t="s">
        <v>58</v>
      </c>
      <c r="B66" s="2" t="s">
        <v>59</v>
      </c>
      <c r="C66" s="2" t="s">
        <v>676</v>
      </c>
      <c r="D66" s="2" t="s">
        <v>22</v>
      </c>
      <c r="E66" s="2" t="s">
        <v>675</v>
      </c>
      <c r="F66" s="2" t="s">
        <v>594</v>
      </c>
      <c r="G66" s="2"/>
      <c r="H66" s="2" t="s">
        <v>674</v>
      </c>
      <c r="I66" s="2" t="s">
        <v>673</v>
      </c>
      <c r="J66" s="2"/>
      <c r="K66" s="2"/>
      <c r="L66" s="2"/>
      <c r="M66" s="3">
        <v>1</v>
      </c>
    </row>
    <row r="67" spans="1:13" x14ac:dyDescent="0.35">
      <c r="A67" s="2" t="s">
        <v>58</v>
      </c>
      <c r="B67" s="2" t="s">
        <v>59</v>
      </c>
      <c r="C67" s="2" t="s">
        <v>672</v>
      </c>
      <c r="D67" s="2" t="s">
        <v>61</v>
      </c>
      <c r="E67" s="2" t="s">
        <v>671</v>
      </c>
      <c r="F67" s="2" t="s">
        <v>670</v>
      </c>
      <c r="G67" s="2" t="s">
        <v>669</v>
      </c>
      <c r="H67" s="2" t="s">
        <v>668</v>
      </c>
      <c r="I67" s="2" t="s">
        <v>667</v>
      </c>
      <c r="J67" s="2" t="s">
        <v>666</v>
      </c>
      <c r="K67" s="2"/>
      <c r="L67" s="2"/>
      <c r="M67" s="3">
        <v>708</v>
      </c>
    </row>
    <row r="68" spans="1:13" x14ac:dyDescent="0.35">
      <c r="A68" s="2" t="s">
        <v>58</v>
      </c>
      <c r="B68" s="2" t="s">
        <v>59</v>
      </c>
      <c r="C68" s="2" t="s">
        <v>665</v>
      </c>
      <c r="D68" s="2" t="s">
        <v>22</v>
      </c>
      <c r="E68" s="2" t="s">
        <v>552</v>
      </c>
      <c r="F68" s="2" t="s">
        <v>552</v>
      </c>
      <c r="G68" s="2" t="s">
        <v>574</v>
      </c>
      <c r="H68" s="2" t="s">
        <v>664</v>
      </c>
      <c r="I68" s="2" t="s">
        <v>663</v>
      </c>
      <c r="J68" s="2"/>
      <c r="K68" s="2"/>
      <c r="L68" s="2"/>
      <c r="M68" s="3">
        <v>0</v>
      </c>
    </row>
    <row r="69" spans="1:13" x14ac:dyDescent="0.35">
      <c r="A69" s="2" t="s">
        <v>58</v>
      </c>
      <c r="B69" s="2" t="s">
        <v>59</v>
      </c>
      <c r="C69" s="2" t="s">
        <v>662</v>
      </c>
      <c r="D69" s="2" t="s">
        <v>22</v>
      </c>
      <c r="E69" s="2" t="s">
        <v>661</v>
      </c>
      <c r="F69" s="2" t="s">
        <v>661</v>
      </c>
      <c r="G69" s="2" t="s">
        <v>660</v>
      </c>
      <c r="H69" s="2" t="s">
        <v>659</v>
      </c>
      <c r="I69" s="2" t="s">
        <v>658</v>
      </c>
      <c r="J69" s="2"/>
      <c r="K69" s="2"/>
      <c r="L69" s="2"/>
      <c r="M69" s="3">
        <v>135</v>
      </c>
    </row>
    <row r="70" spans="1:13" x14ac:dyDescent="0.35">
      <c r="A70" s="2" t="s">
        <v>58</v>
      </c>
      <c r="B70" s="2" t="s">
        <v>59</v>
      </c>
      <c r="C70" s="2" t="s">
        <v>653</v>
      </c>
      <c r="D70" s="2" t="s">
        <v>22</v>
      </c>
      <c r="E70" s="2" t="s">
        <v>657</v>
      </c>
      <c r="F70" s="2" t="s">
        <v>657</v>
      </c>
      <c r="G70" s="2" t="s">
        <v>656</v>
      </c>
      <c r="H70" s="2" t="s">
        <v>655</v>
      </c>
      <c r="I70" s="2" t="s">
        <v>654</v>
      </c>
      <c r="J70" s="2"/>
      <c r="K70" s="2" t="s">
        <v>653</v>
      </c>
      <c r="L70" s="2" t="s">
        <v>652</v>
      </c>
      <c r="M70" s="3">
        <v>792</v>
      </c>
    </row>
    <row r="71" spans="1:13" x14ac:dyDescent="0.35">
      <c r="A71" s="2" t="s">
        <v>58</v>
      </c>
      <c r="B71" s="2" t="s">
        <v>59</v>
      </c>
      <c r="C71" s="2" t="s">
        <v>651</v>
      </c>
      <c r="D71" s="2" t="s">
        <v>61</v>
      </c>
      <c r="E71" s="2" t="s">
        <v>650</v>
      </c>
      <c r="F71" s="2" t="s">
        <v>650</v>
      </c>
      <c r="G71" s="2" t="s">
        <v>649</v>
      </c>
      <c r="H71" s="2" t="s">
        <v>648</v>
      </c>
      <c r="I71" s="2" t="s">
        <v>647</v>
      </c>
      <c r="J71" s="2"/>
      <c r="K71" s="2"/>
      <c r="L71" s="2"/>
      <c r="M71" s="3">
        <v>1830</v>
      </c>
    </row>
    <row r="72" spans="1:13" x14ac:dyDescent="0.35">
      <c r="A72" s="2" t="s">
        <v>58</v>
      </c>
      <c r="B72" s="2" t="s">
        <v>59</v>
      </c>
      <c r="C72" s="2" t="s">
        <v>646</v>
      </c>
      <c r="D72" s="2" t="s">
        <v>22</v>
      </c>
      <c r="E72" s="2" t="s">
        <v>645</v>
      </c>
      <c r="F72" s="2" t="s">
        <v>645</v>
      </c>
      <c r="G72" s="2" t="s">
        <v>644</v>
      </c>
      <c r="H72" s="2" t="s">
        <v>643</v>
      </c>
      <c r="I72" s="2" t="s">
        <v>642</v>
      </c>
      <c r="J72" s="2"/>
      <c r="K72" s="2"/>
      <c r="L72" s="2"/>
      <c r="M72" s="3">
        <v>0</v>
      </c>
    </row>
    <row r="73" spans="1:13" x14ac:dyDescent="0.35">
      <c r="A73" s="2" t="s">
        <v>58</v>
      </c>
      <c r="B73" s="2" t="s">
        <v>59</v>
      </c>
      <c r="C73" s="2" t="s">
        <v>641</v>
      </c>
      <c r="D73" s="2" t="s">
        <v>61</v>
      </c>
      <c r="E73" s="2" t="s">
        <v>640</v>
      </c>
      <c r="F73" s="2" t="s">
        <v>639</v>
      </c>
      <c r="G73" s="2" t="s">
        <v>638</v>
      </c>
      <c r="H73" s="2"/>
      <c r="I73" s="2" t="s">
        <v>637</v>
      </c>
      <c r="J73" s="2" t="s">
        <v>636</v>
      </c>
      <c r="K73" s="2" t="s">
        <v>635</v>
      </c>
      <c r="L73" s="2" t="s">
        <v>634</v>
      </c>
      <c r="M73" s="3">
        <v>4542</v>
      </c>
    </row>
    <row r="74" spans="1:13" x14ac:dyDescent="0.35">
      <c r="A74" s="2" t="s">
        <v>58</v>
      </c>
      <c r="B74" s="2" t="s">
        <v>59</v>
      </c>
      <c r="C74" s="2" t="s">
        <v>633</v>
      </c>
      <c r="D74" s="2" t="s">
        <v>61</v>
      </c>
      <c r="E74" s="2" t="s">
        <v>632</v>
      </c>
      <c r="F74" s="2" t="s">
        <v>631</v>
      </c>
      <c r="G74" s="2" t="s">
        <v>630</v>
      </c>
      <c r="H74" s="2" t="s">
        <v>629</v>
      </c>
      <c r="I74" s="2" t="s">
        <v>628</v>
      </c>
      <c r="J74" s="2" t="s">
        <v>627</v>
      </c>
      <c r="K74" s="2"/>
      <c r="L74" s="2"/>
      <c r="M74" s="3">
        <v>2297</v>
      </c>
    </row>
    <row r="75" spans="1:13" x14ac:dyDescent="0.35">
      <c r="A75" s="2" t="s">
        <v>58</v>
      </c>
      <c r="B75" s="2" t="s">
        <v>59</v>
      </c>
      <c r="C75" s="2" t="s">
        <v>626</v>
      </c>
      <c r="D75" s="2" t="s">
        <v>22</v>
      </c>
      <c r="E75" s="2" t="s">
        <v>625</v>
      </c>
      <c r="F75" s="2" t="s">
        <v>625</v>
      </c>
      <c r="G75" s="2" t="s">
        <v>624</v>
      </c>
      <c r="H75" s="2" t="s">
        <v>623</v>
      </c>
      <c r="I75" s="2" t="s">
        <v>622</v>
      </c>
      <c r="J75" s="2"/>
      <c r="K75" s="2" t="s">
        <v>621</v>
      </c>
      <c r="L75" s="2" t="s">
        <v>620</v>
      </c>
      <c r="M75" s="3">
        <v>5</v>
      </c>
    </row>
    <row r="76" spans="1:13" x14ac:dyDescent="0.35">
      <c r="A76" s="2" t="s">
        <v>58</v>
      </c>
      <c r="B76" s="2" t="s">
        <v>59</v>
      </c>
      <c r="C76" s="2" t="s">
        <v>619</v>
      </c>
      <c r="D76" s="2" t="s">
        <v>61</v>
      </c>
      <c r="E76" s="2" t="s">
        <v>618</v>
      </c>
      <c r="F76" s="2" t="s">
        <v>618</v>
      </c>
      <c r="G76" s="2" t="s">
        <v>617</v>
      </c>
      <c r="H76" s="2" t="s">
        <v>616</v>
      </c>
      <c r="I76" s="2" t="s">
        <v>615</v>
      </c>
      <c r="J76" s="2"/>
      <c r="K76" s="2"/>
      <c r="L76" s="2"/>
      <c r="M76" s="3">
        <v>4546</v>
      </c>
    </row>
    <row r="77" spans="1:13" x14ac:dyDescent="0.35">
      <c r="A77" s="2" t="s">
        <v>58</v>
      </c>
      <c r="B77" s="2" t="s">
        <v>59</v>
      </c>
      <c r="C77" s="2" t="s">
        <v>614</v>
      </c>
      <c r="D77" s="2" t="s">
        <v>22</v>
      </c>
      <c r="E77" s="2" t="s">
        <v>606</v>
      </c>
      <c r="F77" s="2" t="s">
        <v>606</v>
      </c>
      <c r="G77" s="2" t="s">
        <v>605</v>
      </c>
      <c r="H77" s="2" t="s">
        <v>604</v>
      </c>
      <c r="I77" s="2" t="s">
        <v>613</v>
      </c>
      <c r="J77" s="2"/>
      <c r="K77" s="2"/>
      <c r="L77" s="2"/>
      <c r="M77" s="3">
        <v>10022</v>
      </c>
    </row>
    <row r="78" spans="1:13" x14ac:dyDescent="0.35">
      <c r="A78" s="2" t="s">
        <v>58</v>
      </c>
      <c r="B78" s="2" t="s">
        <v>59</v>
      </c>
      <c r="C78" s="2" t="s">
        <v>612</v>
      </c>
      <c r="D78" s="2" t="s">
        <v>22</v>
      </c>
      <c r="E78" s="2" t="s">
        <v>611</v>
      </c>
      <c r="F78" s="2" t="s">
        <v>610</v>
      </c>
      <c r="G78" s="2"/>
      <c r="H78" s="2" t="s">
        <v>609</v>
      </c>
      <c r="I78" s="2" t="s">
        <v>608</v>
      </c>
      <c r="J78" s="2"/>
      <c r="K78" s="2"/>
      <c r="L78" s="2"/>
      <c r="M78" s="3">
        <v>49</v>
      </c>
    </row>
    <row r="79" spans="1:13" x14ac:dyDescent="0.35">
      <c r="A79" s="2" t="s">
        <v>58</v>
      </c>
      <c r="B79" s="2" t="s">
        <v>59</v>
      </c>
      <c r="C79" s="2" t="s">
        <v>607</v>
      </c>
      <c r="D79" s="2" t="s">
        <v>22</v>
      </c>
      <c r="E79" s="2" t="s">
        <v>606</v>
      </c>
      <c r="F79" s="2" t="s">
        <v>606</v>
      </c>
      <c r="G79" s="2" t="s">
        <v>605</v>
      </c>
      <c r="H79" s="2" t="s">
        <v>604</v>
      </c>
      <c r="I79" s="2" t="s">
        <v>603</v>
      </c>
      <c r="J79" s="2"/>
      <c r="K79" s="2"/>
      <c r="L79" s="2"/>
      <c r="M79" s="3">
        <v>1</v>
      </c>
    </row>
    <row r="80" spans="1:13" x14ac:dyDescent="0.35">
      <c r="A80" s="2" t="s">
        <v>58</v>
      </c>
      <c r="B80" s="2" t="s">
        <v>59</v>
      </c>
      <c r="C80" s="2" t="s">
        <v>602</v>
      </c>
      <c r="D80" s="2" t="s">
        <v>22</v>
      </c>
      <c r="E80" s="2" t="s">
        <v>601</v>
      </c>
      <c r="F80" s="2" t="s">
        <v>600</v>
      </c>
      <c r="G80" s="2" t="s">
        <v>599</v>
      </c>
      <c r="H80" s="2" t="s">
        <v>598</v>
      </c>
      <c r="I80" s="2" t="s">
        <v>597</v>
      </c>
      <c r="J80" s="2"/>
      <c r="K80" s="2"/>
      <c r="L80" s="2"/>
      <c r="M80" s="3">
        <v>198</v>
      </c>
    </row>
    <row r="81" spans="1:13" x14ac:dyDescent="0.35">
      <c r="A81" s="2" t="s">
        <v>58</v>
      </c>
      <c r="B81" s="2" t="s">
        <v>59</v>
      </c>
      <c r="C81" s="2" t="s">
        <v>596</v>
      </c>
      <c r="D81" s="2" t="s">
        <v>22</v>
      </c>
      <c r="E81" s="2" t="s">
        <v>595</v>
      </c>
      <c r="F81" s="2" t="s">
        <v>594</v>
      </c>
      <c r="G81" s="2"/>
      <c r="H81" s="2" t="s">
        <v>593</v>
      </c>
      <c r="I81" s="2" t="s">
        <v>592</v>
      </c>
      <c r="J81" s="2"/>
      <c r="K81" s="2"/>
      <c r="L81" s="2"/>
      <c r="M81" s="3">
        <v>110</v>
      </c>
    </row>
    <row r="82" spans="1:13" x14ac:dyDescent="0.35">
      <c r="A82" s="2" t="s">
        <v>58</v>
      </c>
      <c r="B82" s="2" t="s">
        <v>59</v>
      </c>
      <c r="C82" s="2" t="s">
        <v>591</v>
      </c>
      <c r="D82" s="2" t="s">
        <v>61</v>
      </c>
      <c r="E82" s="2" t="s">
        <v>379</v>
      </c>
      <c r="F82" s="2" t="s">
        <v>590</v>
      </c>
      <c r="G82" s="2" t="s">
        <v>589</v>
      </c>
      <c r="H82" s="2" t="s">
        <v>588</v>
      </c>
      <c r="I82" s="2" t="s">
        <v>587</v>
      </c>
      <c r="J82" s="2"/>
      <c r="K82" s="2"/>
      <c r="L82" s="2"/>
      <c r="M82" s="3">
        <v>14971</v>
      </c>
    </row>
    <row r="83" spans="1:13" x14ac:dyDescent="0.35">
      <c r="A83" s="2" t="s">
        <v>58</v>
      </c>
      <c r="B83" s="2" t="s">
        <v>59</v>
      </c>
      <c r="C83" s="2" t="s">
        <v>586</v>
      </c>
      <c r="D83" s="2" t="s">
        <v>22</v>
      </c>
      <c r="E83" s="2" t="s">
        <v>585</v>
      </c>
      <c r="F83" s="2" t="s">
        <v>584</v>
      </c>
      <c r="G83" s="2" t="s">
        <v>583</v>
      </c>
      <c r="H83" s="2" t="s">
        <v>582</v>
      </c>
      <c r="I83" s="2" t="s">
        <v>581</v>
      </c>
      <c r="J83" s="2"/>
      <c r="K83" s="2"/>
      <c r="L83" s="2"/>
      <c r="M83" s="3">
        <v>2711</v>
      </c>
    </row>
    <row r="84" spans="1:13" x14ac:dyDescent="0.35">
      <c r="A84" s="2" t="s">
        <v>58</v>
      </c>
      <c r="B84" s="2" t="s">
        <v>59</v>
      </c>
      <c r="C84" s="2" t="s">
        <v>580</v>
      </c>
      <c r="D84" s="2" t="s">
        <v>22</v>
      </c>
      <c r="E84" s="2" t="s">
        <v>579</v>
      </c>
      <c r="F84" s="2" t="s">
        <v>579</v>
      </c>
      <c r="G84" s="2" t="s">
        <v>578</v>
      </c>
      <c r="H84" s="2" t="s">
        <v>577</v>
      </c>
      <c r="I84" s="2" t="s">
        <v>576</v>
      </c>
      <c r="J84" s="2"/>
      <c r="K84" s="2"/>
      <c r="L84" s="2"/>
      <c r="M84" s="3">
        <v>25</v>
      </c>
    </row>
    <row r="85" spans="1:13" x14ac:dyDescent="0.35">
      <c r="A85" s="2" t="s">
        <v>58</v>
      </c>
      <c r="B85" s="2" t="s">
        <v>59</v>
      </c>
      <c r="C85" s="2" t="s">
        <v>575</v>
      </c>
      <c r="D85" s="2" t="s">
        <v>61</v>
      </c>
      <c r="E85" s="2" t="s">
        <v>552</v>
      </c>
      <c r="F85" s="2" t="s">
        <v>552</v>
      </c>
      <c r="G85" s="2" t="s">
        <v>574</v>
      </c>
      <c r="H85" s="2" t="s">
        <v>573</v>
      </c>
      <c r="I85" s="2" t="s">
        <v>572</v>
      </c>
      <c r="J85" s="2"/>
      <c r="K85" s="2"/>
      <c r="L85" s="2"/>
      <c r="M85" s="3">
        <v>59790</v>
      </c>
    </row>
    <row r="86" spans="1:13" x14ac:dyDescent="0.35">
      <c r="A86" s="2" t="s">
        <v>58</v>
      </c>
      <c r="B86" s="2" t="s">
        <v>59</v>
      </c>
      <c r="C86" s="2" t="s">
        <v>571</v>
      </c>
      <c r="D86" s="2" t="s">
        <v>61</v>
      </c>
      <c r="E86" s="2" t="s">
        <v>118</v>
      </c>
      <c r="F86" s="2" t="s">
        <v>118</v>
      </c>
      <c r="G86" s="2" t="s">
        <v>570</v>
      </c>
      <c r="H86" s="2" t="s">
        <v>569</v>
      </c>
      <c r="I86" s="2" t="s">
        <v>568</v>
      </c>
      <c r="J86" s="2"/>
      <c r="K86" s="2"/>
      <c r="L86" s="2"/>
      <c r="M86" s="3">
        <v>16229</v>
      </c>
    </row>
    <row r="87" spans="1:13" x14ac:dyDescent="0.35">
      <c r="A87" s="2" t="s">
        <v>58</v>
      </c>
      <c r="B87" s="2" t="s">
        <v>59</v>
      </c>
      <c r="C87" s="2" t="s">
        <v>567</v>
      </c>
      <c r="D87" s="2" t="s">
        <v>22</v>
      </c>
      <c r="E87" s="2" t="s">
        <v>566</v>
      </c>
      <c r="F87" s="2" t="s">
        <v>566</v>
      </c>
      <c r="G87" s="2" t="s">
        <v>565</v>
      </c>
      <c r="H87" s="2" t="s">
        <v>564</v>
      </c>
      <c r="I87" s="2" t="s">
        <v>563</v>
      </c>
      <c r="J87" s="2"/>
      <c r="K87" s="2"/>
      <c r="L87" s="2"/>
      <c r="M87" s="3">
        <v>1</v>
      </c>
    </row>
    <row r="88" spans="1:13" x14ac:dyDescent="0.35">
      <c r="A88" s="2" t="s">
        <v>58</v>
      </c>
      <c r="B88" s="2" t="s">
        <v>59</v>
      </c>
      <c r="C88" s="2" t="s">
        <v>562</v>
      </c>
      <c r="D88" s="2" t="s">
        <v>22</v>
      </c>
      <c r="E88" s="2" t="s">
        <v>561</v>
      </c>
      <c r="F88" s="2" t="s">
        <v>561</v>
      </c>
      <c r="G88" s="2" t="s">
        <v>560</v>
      </c>
      <c r="H88" s="2" t="s">
        <v>559</v>
      </c>
      <c r="I88" s="2"/>
      <c r="J88" s="2"/>
      <c r="K88" s="2"/>
      <c r="L88" s="2"/>
      <c r="M88" s="3">
        <v>580</v>
      </c>
    </row>
    <row r="89" spans="1:13" x14ac:dyDescent="0.35">
      <c r="A89" s="2" t="s">
        <v>58</v>
      </c>
      <c r="B89" s="2" t="s">
        <v>59</v>
      </c>
      <c r="C89" s="2" t="s">
        <v>558</v>
      </c>
      <c r="D89" s="2" t="s">
        <v>61</v>
      </c>
      <c r="E89" s="2" t="s">
        <v>557</v>
      </c>
      <c r="F89" s="2" t="s">
        <v>557</v>
      </c>
      <c r="G89" s="2" t="s">
        <v>556</v>
      </c>
      <c r="H89" s="2" t="s">
        <v>555</v>
      </c>
      <c r="I89" s="2" t="s">
        <v>554</v>
      </c>
      <c r="J89" s="2"/>
      <c r="K89" s="2"/>
      <c r="L89" s="2"/>
      <c r="M89" s="3">
        <v>1</v>
      </c>
    </row>
    <row r="90" spans="1:13" x14ac:dyDescent="0.35">
      <c r="A90" s="2" t="s">
        <v>58</v>
      </c>
      <c r="B90" s="2" t="s">
        <v>59</v>
      </c>
      <c r="C90" s="2" t="s">
        <v>553</v>
      </c>
      <c r="D90" s="2" t="s">
        <v>22</v>
      </c>
      <c r="E90" s="2" t="s">
        <v>552</v>
      </c>
      <c r="F90" s="2" t="s">
        <v>552</v>
      </c>
      <c r="G90" s="2" t="s">
        <v>551</v>
      </c>
      <c r="H90" s="2" t="s">
        <v>550</v>
      </c>
      <c r="I90" s="2" t="s">
        <v>549</v>
      </c>
      <c r="J90" s="2"/>
      <c r="K90" s="2"/>
      <c r="L90" s="2"/>
      <c r="M90" s="3">
        <v>89</v>
      </c>
    </row>
    <row r="91" spans="1:13" x14ac:dyDescent="0.35">
      <c r="A91" s="2" t="s">
        <v>58</v>
      </c>
      <c r="B91" s="2" t="s">
        <v>59</v>
      </c>
      <c r="C91" s="2" t="s">
        <v>157</v>
      </c>
      <c r="D91" s="2" t="s">
        <v>61</v>
      </c>
      <c r="E91" s="2" t="s">
        <v>548</v>
      </c>
      <c r="F91" s="2" t="s">
        <v>548</v>
      </c>
      <c r="G91" s="2" t="s">
        <v>547</v>
      </c>
      <c r="H91" s="2" t="s">
        <v>546</v>
      </c>
      <c r="I91" s="2" t="s">
        <v>545</v>
      </c>
      <c r="J91" s="2" t="s">
        <v>544</v>
      </c>
      <c r="K91" s="2"/>
      <c r="L91" s="2"/>
      <c r="M91" s="3">
        <v>2895</v>
      </c>
    </row>
    <row r="92" spans="1:13" x14ac:dyDescent="0.35">
      <c r="A92" s="2" t="s">
        <v>543</v>
      </c>
      <c r="B92" s="2" t="s">
        <v>59</v>
      </c>
      <c r="C92" s="2" t="s">
        <v>542</v>
      </c>
      <c r="D92" s="2" t="s">
        <v>22</v>
      </c>
      <c r="E92" s="2" t="s">
        <v>541</v>
      </c>
      <c r="F92" s="2" t="s">
        <v>541</v>
      </c>
      <c r="G92" s="2"/>
      <c r="H92" s="2"/>
      <c r="I92" s="2"/>
      <c r="J92" s="2" t="s">
        <v>540</v>
      </c>
      <c r="K92" s="2"/>
      <c r="L92" s="2"/>
      <c r="M92" s="3">
        <v>2320</v>
      </c>
    </row>
    <row r="93" spans="1:13" x14ac:dyDescent="0.35">
      <c r="A93" s="2" t="s">
        <v>539</v>
      </c>
      <c r="B93" s="2" t="s">
        <v>539</v>
      </c>
      <c r="C93" s="2" t="s">
        <v>538</v>
      </c>
      <c r="D93" s="2" t="s">
        <v>61</v>
      </c>
      <c r="E93" s="2" t="s">
        <v>537</v>
      </c>
      <c r="F93" s="2" t="s">
        <v>536</v>
      </c>
      <c r="G93" s="2"/>
      <c r="H93" s="2" t="s">
        <v>535</v>
      </c>
      <c r="I93" s="2" t="s">
        <v>534</v>
      </c>
      <c r="J93" s="2"/>
      <c r="K93" s="2"/>
      <c r="L93" s="2"/>
      <c r="M93" s="3">
        <v>96</v>
      </c>
    </row>
    <row r="94" spans="1:13" x14ac:dyDescent="0.35">
      <c r="A94" s="2"/>
      <c r="B94" s="2"/>
      <c r="C94" s="2" t="s">
        <v>533</v>
      </c>
      <c r="D94" s="2" t="s">
        <v>22</v>
      </c>
      <c r="E94" s="2"/>
      <c r="F94" s="2"/>
      <c r="G94" s="2"/>
      <c r="H94" s="2"/>
      <c r="I94" s="2"/>
      <c r="J94" s="2"/>
      <c r="K94" s="2"/>
      <c r="L94" s="2"/>
      <c r="M94" s="3">
        <v>10</v>
      </c>
    </row>
    <row r="95" spans="1:13" x14ac:dyDescent="0.35">
      <c r="A95" s="2"/>
      <c r="B95" s="2"/>
      <c r="C95" s="2" t="s">
        <v>532</v>
      </c>
      <c r="D95" s="2" t="s">
        <v>22</v>
      </c>
      <c r="E95" s="2"/>
      <c r="F95" s="2"/>
      <c r="G95" s="2"/>
      <c r="H95" s="2"/>
      <c r="I95" s="2"/>
      <c r="J95" s="2"/>
      <c r="K95" s="2"/>
      <c r="L95" s="2"/>
      <c r="M95" s="3">
        <v>11</v>
      </c>
    </row>
    <row r="96" spans="1:13" x14ac:dyDescent="0.35">
      <c r="A96" s="2"/>
      <c r="B96" s="2"/>
      <c r="C96" s="2" t="s">
        <v>531</v>
      </c>
      <c r="D96" s="2" t="s">
        <v>22</v>
      </c>
      <c r="E96" s="2"/>
      <c r="F96" s="2"/>
      <c r="G96" s="2"/>
      <c r="H96" s="2"/>
      <c r="I96" s="2"/>
      <c r="J96" s="2"/>
      <c r="K96" s="2"/>
      <c r="L96" s="2"/>
      <c r="M96" s="3">
        <v>5</v>
      </c>
    </row>
    <row r="97" spans="1:13" x14ac:dyDescent="0.35">
      <c r="A97" s="2"/>
      <c r="B97" s="2"/>
      <c r="C97" s="2" t="s">
        <v>530</v>
      </c>
      <c r="D97" s="2" t="s">
        <v>22</v>
      </c>
      <c r="E97" s="2"/>
      <c r="F97" s="2"/>
      <c r="G97" s="2"/>
      <c r="H97" s="2"/>
      <c r="I97" s="2"/>
      <c r="J97" s="2"/>
      <c r="K97" s="2"/>
      <c r="L97" s="2"/>
      <c r="M97" s="3">
        <v>41</v>
      </c>
    </row>
    <row r="98" spans="1:13" x14ac:dyDescent="0.35">
      <c r="A98" s="2"/>
      <c r="B98" s="2"/>
      <c r="C98" s="2" t="s">
        <v>529</v>
      </c>
      <c r="D98" s="2" t="s">
        <v>22</v>
      </c>
      <c r="E98" s="2"/>
      <c r="F98" s="2"/>
      <c r="G98" s="2"/>
      <c r="H98" s="2"/>
      <c r="I98" s="2"/>
      <c r="J98" s="2"/>
      <c r="K98" s="2"/>
      <c r="L98" s="2"/>
      <c r="M98" s="3">
        <v>1</v>
      </c>
    </row>
    <row r="99" spans="1:13" x14ac:dyDescent="0.35">
      <c r="A99" s="2"/>
      <c r="B99" s="2"/>
      <c r="C99" s="2" t="s">
        <v>528</v>
      </c>
      <c r="D99" s="2" t="s">
        <v>22</v>
      </c>
      <c r="E99" s="2"/>
      <c r="F99" s="2"/>
      <c r="G99" s="2"/>
      <c r="H99" s="2"/>
      <c r="I99" s="2"/>
      <c r="J99" s="2"/>
      <c r="K99" s="2"/>
      <c r="L99" s="2"/>
      <c r="M99" s="3">
        <v>5</v>
      </c>
    </row>
    <row r="100" spans="1:13" x14ac:dyDescent="0.35">
      <c r="A100" s="2"/>
      <c r="B100" s="2"/>
      <c r="C100" s="2" t="s">
        <v>527</v>
      </c>
      <c r="D100" s="2" t="s">
        <v>22</v>
      </c>
      <c r="E100" s="2"/>
      <c r="F100" s="2"/>
      <c r="G100" s="2"/>
      <c r="H100" s="2"/>
      <c r="I100" s="2"/>
      <c r="J100" s="2"/>
      <c r="K100" s="2"/>
      <c r="L100" s="2"/>
      <c r="M100" s="3">
        <v>0</v>
      </c>
    </row>
    <row r="101" spans="1:13" x14ac:dyDescent="0.35">
      <c r="A101" s="2"/>
      <c r="B101" s="2"/>
      <c r="C101" s="2" t="s">
        <v>526</v>
      </c>
      <c r="D101" s="2" t="s">
        <v>22</v>
      </c>
      <c r="E101" s="2"/>
      <c r="F101" s="2"/>
      <c r="G101" s="2"/>
      <c r="H101" s="2"/>
      <c r="I101" s="2"/>
      <c r="J101" s="2"/>
      <c r="K101" s="2"/>
      <c r="L101" s="2"/>
      <c r="M101" s="3">
        <v>0</v>
      </c>
    </row>
    <row r="102" spans="1:13" x14ac:dyDescent="0.35">
      <c r="A102" s="2"/>
      <c r="B102" s="2"/>
      <c r="C102" s="2" t="s">
        <v>525</v>
      </c>
      <c r="D102" s="2" t="s">
        <v>22</v>
      </c>
      <c r="E102" s="2"/>
      <c r="F102" s="2"/>
      <c r="G102" s="2"/>
      <c r="H102" s="2"/>
      <c r="I102" s="2"/>
      <c r="J102" s="2"/>
      <c r="K102" s="2"/>
      <c r="L102" s="2"/>
      <c r="M102" s="3">
        <v>0</v>
      </c>
    </row>
    <row r="103" spans="1:13" x14ac:dyDescent="0.35">
      <c r="A103" s="2"/>
      <c r="B103" s="2"/>
      <c r="C103" s="2" t="s">
        <v>340</v>
      </c>
      <c r="D103" s="2" t="s">
        <v>22</v>
      </c>
      <c r="E103" s="2"/>
      <c r="F103" s="2"/>
      <c r="G103" s="2"/>
      <c r="H103" s="2"/>
      <c r="I103" s="2"/>
      <c r="J103" s="2"/>
      <c r="K103" s="2"/>
      <c r="L103" s="2"/>
      <c r="M103" s="3">
        <v>0</v>
      </c>
    </row>
    <row r="104" spans="1:13" x14ac:dyDescent="0.35">
      <c r="A104" s="2"/>
      <c r="B104" s="2"/>
      <c r="C104" s="2" t="s">
        <v>524</v>
      </c>
      <c r="D104" s="2" t="s">
        <v>22</v>
      </c>
      <c r="E104" s="2"/>
      <c r="F104" s="2"/>
      <c r="G104" s="2"/>
      <c r="H104" s="2"/>
      <c r="I104" s="2"/>
      <c r="J104" s="2"/>
      <c r="K104" s="2"/>
      <c r="L104" s="2"/>
      <c r="M104" s="3">
        <v>0</v>
      </c>
    </row>
    <row r="105" spans="1:13" x14ac:dyDescent="0.35">
      <c r="A105" s="2"/>
      <c r="B105" s="2"/>
      <c r="C105" s="2" t="s">
        <v>523</v>
      </c>
      <c r="D105" s="2" t="s">
        <v>22</v>
      </c>
      <c r="E105" s="2"/>
      <c r="F105" s="2"/>
      <c r="G105" s="2"/>
      <c r="H105" s="2"/>
      <c r="I105" s="2"/>
      <c r="J105" s="2"/>
      <c r="K105" s="2"/>
      <c r="L105" s="2"/>
      <c r="M105" s="3">
        <v>0</v>
      </c>
    </row>
    <row r="106" spans="1:13" x14ac:dyDescent="0.35">
      <c r="A106" s="2"/>
      <c r="B106" s="2"/>
      <c r="C106" s="2" t="s">
        <v>522</v>
      </c>
      <c r="D106" s="2" t="s">
        <v>22</v>
      </c>
      <c r="E106" s="2"/>
      <c r="F106" s="2"/>
      <c r="G106" s="2"/>
      <c r="H106" s="2"/>
      <c r="I106" s="2"/>
      <c r="J106" s="2"/>
      <c r="K106" s="2"/>
      <c r="L106" s="2"/>
      <c r="M106" s="3">
        <v>0</v>
      </c>
    </row>
    <row r="107" spans="1:13" x14ac:dyDescent="0.35">
      <c r="A107" s="2"/>
      <c r="B107" s="2"/>
      <c r="C107" s="2" t="s">
        <v>521</v>
      </c>
      <c r="D107" s="2" t="s">
        <v>22</v>
      </c>
      <c r="E107" s="2"/>
      <c r="F107" s="2"/>
      <c r="G107" s="2"/>
      <c r="H107" s="2"/>
      <c r="I107" s="2"/>
      <c r="J107" s="2"/>
      <c r="K107" s="2"/>
      <c r="L107" s="2"/>
      <c r="M107" s="3">
        <v>0</v>
      </c>
    </row>
    <row r="108" spans="1:13" x14ac:dyDescent="0.35">
      <c r="A108" s="2"/>
      <c r="B108" s="2"/>
      <c r="C108" s="2" t="s">
        <v>520</v>
      </c>
      <c r="D108" s="2" t="s">
        <v>22</v>
      </c>
      <c r="E108" s="2"/>
      <c r="F108" s="2"/>
      <c r="G108" s="2"/>
      <c r="H108" s="2"/>
      <c r="I108" s="2"/>
      <c r="J108" s="2"/>
      <c r="K108" s="2"/>
      <c r="L108" s="2"/>
      <c r="M108" s="3">
        <v>1</v>
      </c>
    </row>
    <row r="109" spans="1:13" x14ac:dyDescent="0.35">
      <c r="A109" s="2"/>
      <c r="B109" s="2"/>
      <c r="C109" s="2" t="s">
        <v>519</v>
      </c>
      <c r="D109" s="2" t="s">
        <v>22</v>
      </c>
      <c r="E109" s="2"/>
      <c r="F109" s="2"/>
      <c r="G109" s="2"/>
      <c r="H109" s="2"/>
      <c r="I109" s="2"/>
      <c r="J109" s="2"/>
      <c r="K109" s="2"/>
      <c r="L109" s="2"/>
      <c r="M109" s="3">
        <v>0</v>
      </c>
    </row>
    <row r="110" spans="1:13" x14ac:dyDescent="0.35">
      <c r="A110" s="2"/>
      <c r="B110" s="2"/>
      <c r="C110" s="2" t="s">
        <v>518</v>
      </c>
      <c r="D110" s="2" t="s">
        <v>22</v>
      </c>
      <c r="E110" s="2"/>
      <c r="F110" s="2"/>
      <c r="G110" s="2"/>
      <c r="H110" s="2"/>
      <c r="I110" s="2"/>
      <c r="J110" s="2"/>
      <c r="K110" s="2"/>
      <c r="L110" s="2"/>
      <c r="M110" s="3">
        <v>0</v>
      </c>
    </row>
    <row r="111" spans="1:13" x14ac:dyDescent="0.35">
      <c r="A111" s="2"/>
      <c r="B111" s="2"/>
      <c r="C111" s="2" t="s">
        <v>517</v>
      </c>
      <c r="D111" s="2" t="s">
        <v>22</v>
      </c>
      <c r="E111" s="2"/>
      <c r="F111" s="2"/>
      <c r="G111" s="2"/>
      <c r="H111" s="2"/>
      <c r="I111" s="2"/>
      <c r="J111" s="2"/>
      <c r="K111" s="2"/>
      <c r="L111" s="2"/>
      <c r="M111" s="3">
        <v>4</v>
      </c>
    </row>
    <row r="112" spans="1:13" x14ac:dyDescent="0.35">
      <c r="A112" s="2"/>
      <c r="B112" s="2"/>
      <c r="C112" s="2" t="s">
        <v>516</v>
      </c>
      <c r="D112" s="2" t="s">
        <v>22</v>
      </c>
      <c r="E112" s="2"/>
      <c r="F112" s="2"/>
      <c r="G112" s="2"/>
      <c r="H112" s="2"/>
      <c r="I112" s="2"/>
      <c r="J112" s="2"/>
      <c r="K112" s="2"/>
      <c r="L112" s="2"/>
      <c r="M112" s="3">
        <v>0</v>
      </c>
    </row>
    <row r="113" spans="1:13" x14ac:dyDescent="0.35">
      <c r="A113" s="2"/>
      <c r="B113" s="2"/>
      <c r="C113" s="2" t="s">
        <v>515</v>
      </c>
      <c r="D113" s="2" t="s">
        <v>22</v>
      </c>
      <c r="E113" s="2"/>
      <c r="F113" s="2"/>
      <c r="G113" s="2"/>
      <c r="H113" s="2"/>
      <c r="I113" s="2"/>
      <c r="J113" s="2"/>
      <c r="K113" s="2"/>
      <c r="L113" s="2"/>
      <c r="M113" s="3">
        <v>0</v>
      </c>
    </row>
    <row r="114" spans="1:13" x14ac:dyDescent="0.35">
      <c r="A114" s="2"/>
      <c r="B114" s="2"/>
      <c r="C114" s="2" t="s">
        <v>514</v>
      </c>
      <c r="D114" s="2" t="s">
        <v>22</v>
      </c>
      <c r="E114" s="2"/>
      <c r="F114" s="2"/>
      <c r="G114" s="2"/>
      <c r="H114" s="2"/>
      <c r="I114" s="2"/>
      <c r="J114" s="2"/>
      <c r="K114" s="2"/>
      <c r="L114" s="2"/>
      <c r="M114" s="3">
        <v>0</v>
      </c>
    </row>
    <row r="115" spans="1:13" x14ac:dyDescent="0.35">
      <c r="A115" s="2"/>
      <c r="B115" s="2"/>
      <c r="C115" s="2" t="s">
        <v>513</v>
      </c>
      <c r="D115" s="2" t="s">
        <v>22</v>
      </c>
      <c r="E115" s="2" t="s">
        <v>512</v>
      </c>
      <c r="F115" s="2" t="s">
        <v>511</v>
      </c>
      <c r="G115" s="2" t="s">
        <v>510</v>
      </c>
      <c r="H115" s="2" t="s">
        <v>509</v>
      </c>
      <c r="I115" s="2" t="s">
        <v>508</v>
      </c>
      <c r="J115" s="2"/>
      <c r="K115" s="2"/>
      <c r="L115" s="2"/>
      <c r="M115" s="3">
        <v>11</v>
      </c>
    </row>
    <row r="116" spans="1:13" x14ac:dyDescent="0.35">
      <c r="A116" s="2"/>
      <c r="B116" s="2"/>
      <c r="C116" s="2" t="s">
        <v>507</v>
      </c>
      <c r="D116" s="2" t="s">
        <v>22</v>
      </c>
      <c r="E116" s="2" t="s">
        <v>506</v>
      </c>
      <c r="F116" s="2" t="s">
        <v>505</v>
      </c>
      <c r="G116" s="2" t="s">
        <v>504</v>
      </c>
      <c r="H116" s="2" t="s">
        <v>503</v>
      </c>
      <c r="I116" s="2" t="s">
        <v>502</v>
      </c>
      <c r="J116" s="2"/>
      <c r="K116" s="2"/>
      <c r="L116" s="2"/>
      <c r="M116" s="3">
        <v>6</v>
      </c>
    </row>
    <row r="117" spans="1:13" x14ac:dyDescent="0.35">
      <c r="A117" s="2"/>
      <c r="B117" s="2"/>
      <c r="C117" s="2" t="s">
        <v>501</v>
      </c>
      <c r="D117" s="2" t="s">
        <v>22</v>
      </c>
      <c r="E117" s="2"/>
      <c r="F117" s="2"/>
      <c r="G117" s="2"/>
      <c r="H117" s="2"/>
      <c r="I117" s="2"/>
      <c r="J117" s="2"/>
      <c r="K117" s="2"/>
      <c r="L117" s="2"/>
      <c r="M117" s="3">
        <v>40</v>
      </c>
    </row>
    <row r="118" spans="1:13" x14ac:dyDescent="0.35">
      <c r="A118" s="2"/>
      <c r="B118" s="2"/>
      <c r="C118" s="2" t="s">
        <v>500</v>
      </c>
      <c r="D118" s="2" t="s">
        <v>22</v>
      </c>
      <c r="E118" s="2"/>
      <c r="F118" s="2"/>
      <c r="G118" s="2"/>
      <c r="H118" s="2"/>
      <c r="I118" s="2"/>
      <c r="J118" s="2"/>
      <c r="K118" s="2"/>
      <c r="L118" s="2"/>
      <c r="M118" s="3">
        <v>2</v>
      </c>
    </row>
    <row r="119" spans="1:13" x14ac:dyDescent="0.35">
      <c r="A119" s="2"/>
      <c r="B119" s="2"/>
      <c r="C119" s="2" t="s">
        <v>499</v>
      </c>
      <c r="D119" s="2" t="s">
        <v>22</v>
      </c>
      <c r="E119" s="2"/>
      <c r="F119" s="2"/>
      <c r="G119" s="2"/>
      <c r="H119" s="2"/>
      <c r="I119" s="2"/>
      <c r="J119" s="2"/>
      <c r="K119" s="2"/>
      <c r="L119" s="2"/>
      <c r="M119" s="3">
        <v>0</v>
      </c>
    </row>
    <row r="120" spans="1:13" x14ac:dyDescent="0.35">
      <c r="A120" s="2"/>
      <c r="B120" s="2"/>
      <c r="C120" s="2" t="s">
        <v>498</v>
      </c>
      <c r="D120" s="2" t="s">
        <v>22</v>
      </c>
      <c r="E120" s="2"/>
      <c r="F120" s="2"/>
      <c r="G120" s="2"/>
      <c r="H120" s="2"/>
      <c r="I120" s="2"/>
      <c r="J120" s="2"/>
      <c r="K120" s="2"/>
      <c r="L120" s="2"/>
      <c r="M120" s="3">
        <v>0</v>
      </c>
    </row>
    <row r="121" spans="1:13" x14ac:dyDescent="0.35">
      <c r="A121" s="2"/>
      <c r="B121" s="2"/>
      <c r="C121" s="2" t="s">
        <v>497</v>
      </c>
      <c r="D121" s="2" t="s">
        <v>22</v>
      </c>
      <c r="E121" s="2"/>
      <c r="F121" s="2"/>
      <c r="G121" s="2"/>
      <c r="H121" s="2"/>
      <c r="I121" s="2"/>
      <c r="J121" s="2"/>
      <c r="K121" s="2"/>
      <c r="L121" s="2"/>
      <c r="M121" s="3">
        <v>0</v>
      </c>
    </row>
    <row r="122" spans="1:13" x14ac:dyDescent="0.35">
      <c r="A122" s="2"/>
      <c r="B122" s="2"/>
      <c r="C122" s="2" t="s">
        <v>496</v>
      </c>
      <c r="D122" s="2" t="s">
        <v>22</v>
      </c>
      <c r="E122" s="2"/>
      <c r="F122" s="2"/>
      <c r="G122" s="2"/>
      <c r="H122" s="2"/>
      <c r="I122" s="2"/>
      <c r="J122" s="2"/>
      <c r="K122" s="2"/>
      <c r="L122" s="2"/>
      <c r="M122" s="3">
        <v>0</v>
      </c>
    </row>
    <row r="123" spans="1:13" x14ac:dyDescent="0.35">
      <c r="A123" s="2"/>
      <c r="B123" s="2"/>
      <c r="C123" s="2" t="s">
        <v>495</v>
      </c>
      <c r="D123" s="2" t="s">
        <v>22</v>
      </c>
      <c r="E123" s="2"/>
      <c r="F123" s="2"/>
      <c r="G123" s="2"/>
      <c r="H123" s="2"/>
      <c r="I123" s="2"/>
      <c r="J123" s="2"/>
      <c r="K123" s="2"/>
      <c r="L123" s="2"/>
      <c r="M123" s="3">
        <v>0</v>
      </c>
    </row>
    <row r="124" spans="1:13" x14ac:dyDescent="0.35">
      <c r="A124" s="2"/>
      <c r="B124" s="2"/>
      <c r="C124" s="2" t="s">
        <v>494</v>
      </c>
      <c r="D124" s="2" t="s">
        <v>22</v>
      </c>
      <c r="E124" s="2"/>
      <c r="F124" s="2"/>
      <c r="G124" s="2"/>
      <c r="H124" s="2"/>
      <c r="I124" s="2"/>
      <c r="J124" s="2"/>
      <c r="K124" s="2"/>
      <c r="L124" s="2"/>
      <c r="M124" s="3">
        <v>2</v>
      </c>
    </row>
    <row r="125" spans="1:13" x14ac:dyDescent="0.35">
      <c r="A125" s="2"/>
      <c r="B125" s="2"/>
      <c r="C125" s="2" t="s">
        <v>493</v>
      </c>
      <c r="D125" s="2" t="s">
        <v>22</v>
      </c>
      <c r="E125" s="2"/>
      <c r="F125" s="2"/>
      <c r="G125" s="2"/>
      <c r="H125" s="2"/>
      <c r="I125" s="2"/>
      <c r="J125" s="2"/>
      <c r="K125" s="2"/>
      <c r="L125" s="2"/>
      <c r="M125" s="3">
        <v>0</v>
      </c>
    </row>
    <row r="126" spans="1:13" x14ac:dyDescent="0.35">
      <c r="A126" s="2"/>
      <c r="B126" s="2"/>
      <c r="C126" s="2" t="s">
        <v>492</v>
      </c>
      <c r="D126" s="2" t="s">
        <v>22</v>
      </c>
      <c r="E126" s="2"/>
      <c r="F126" s="2"/>
      <c r="G126" s="2"/>
      <c r="H126" s="2"/>
      <c r="I126" s="2"/>
      <c r="J126" s="2"/>
      <c r="K126" s="2"/>
      <c r="L126" s="2"/>
      <c r="M126" s="3">
        <v>4</v>
      </c>
    </row>
    <row r="127" spans="1:13" x14ac:dyDescent="0.35">
      <c r="A127" s="2"/>
      <c r="B127" s="2"/>
      <c r="C127" s="2" t="s">
        <v>491</v>
      </c>
      <c r="D127" s="2" t="s">
        <v>22</v>
      </c>
      <c r="E127" s="2"/>
      <c r="F127" s="2"/>
      <c r="G127" s="2"/>
      <c r="H127" s="2"/>
      <c r="I127" s="2"/>
      <c r="J127" s="2"/>
      <c r="K127" s="2"/>
      <c r="L127" s="2"/>
      <c r="M127" s="3">
        <v>0</v>
      </c>
    </row>
    <row r="128" spans="1:13" x14ac:dyDescent="0.35">
      <c r="A128" s="2"/>
      <c r="B128" s="2"/>
      <c r="C128" s="2" t="s">
        <v>490</v>
      </c>
      <c r="D128" s="2" t="s">
        <v>22</v>
      </c>
      <c r="E128" s="2" t="s">
        <v>489</v>
      </c>
      <c r="F128" s="2" t="s">
        <v>488</v>
      </c>
      <c r="G128" s="2" t="s">
        <v>487</v>
      </c>
      <c r="H128" s="2" t="s">
        <v>486</v>
      </c>
      <c r="I128" s="2" t="s">
        <v>485</v>
      </c>
      <c r="J128" s="2"/>
      <c r="K128" s="2"/>
      <c r="L128" s="2"/>
      <c r="M128" s="3">
        <v>42</v>
      </c>
    </row>
    <row r="129" spans="1:13" x14ac:dyDescent="0.35">
      <c r="A129" s="2"/>
      <c r="B129" s="2"/>
      <c r="C129" s="2" t="s">
        <v>484</v>
      </c>
      <c r="D129" s="2" t="s">
        <v>22</v>
      </c>
      <c r="E129" s="2"/>
      <c r="F129" s="2"/>
      <c r="G129" s="2"/>
      <c r="H129" s="2"/>
      <c r="I129" s="2"/>
      <c r="J129" s="2"/>
      <c r="K129" s="2"/>
      <c r="L129" s="2"/>
      <c r="M129" s="3">
        <v>0</v>
      </c>
    </row>
  </sheetData>
  <mergeCells count="6">
    <mergeCell ref="A6:M6"/>
    <mergeCell ref="A1:M1"/>
    <mergeCell ref="A2:M2"/>
    <mergeCell ref="A3:M3"/>
    <mergeCell ref="A4:M4"/>
    <mergeCell ref="A5:M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7A231-3776-4BB8-A6CD-A1104E01A702}">
  <dimension ref="A1:M36"/>
  <sheetViews>
    <sheetView workbookViewId="0">
      <selection activeCell="C15" sqref="C15"/>
    </sheetView>
  </sheetViews>
  <sheetFormatPr defaultRowHeight="14.5" x14ac:dyDescent="0.35"/>
  <cols>
    <col min="1" max="1" width="10.7265625" customWidth="1"/>
    <col min="2" max="2" width="9.7265625" customWidth="1"/>
    <col min="3" max="3" width="36.7265625" customWidth="1"/>
    <col min="4" max="4" width="16.7265625" customWidth="1"/>
    <col min="5" max="5" width="41.7265625" customWidth="1"/>
    <col min="6" max="8" width="50.7265625" customWidth="1"/>
    <col min="9" max="9" width="5.7265625" customWidth="1"/>
    <col min="10" max="10" width="50.7265625" customWidth="1"/>
    <col min="11" max="11" width="16.7265625" customWidth="1"/>
    <col min="12" max="12" width="25.7265625" customWidth="1"/>
    <col min="13" max="13" width="20.7265625" customWidth="1"/>
  </cols>
  <sheetData>
    <row r="1" spans="1:13" ht="22.5" x14ac:dyDescent="0.35">
      <c r="A1" s="32" t="s">
        <v>0</v>
      </c>
      <c r="B1" s="32"/>
      <c r="C1" s="32"/>
      <c r="D1" s="32"/>
      <c r="E1" s="32"/>
      <c r="F1" s="32"/>
      <c r="G1" s="32"/>
      <c r="H1" s="32"/>
      <c r="I1" s="32"/>
      <c r="J1" s="32"/>
      <c r="K1" s="32"/>
      <c r="L1" s="32"/>
      <c r="M1" s="32"/>
    </row>
    <row r="2" spans="1:13" ht="15.5" x14ac:dyDescent="0.35">
      <c r="A2" s="33" t="s">
        <v>1475</v>
      </c>
      <c r="B2" s="33"/>
      <c r="C2" s="33"/>
      <c r="D2" s="33"/>
      <c r="E2" s="33"/>
      <c r="F2" s="33"/>
      <c r="G2" s="33"/>
      <c r="H2" s="33"/>
      <c r="I2" s="33"/>
      <c r="J2" s="33"/>
      <c r="K2" s="33"/>
      <c r="L2" s="33"/>
      <c r="M2" s="33"/>
    </row>
    <row r="3" spans="1:13" x14ac:dyDescent="0.35">
      <c r="A3" s="31" t="s">
        <v>2</v>
      </c>
      <c r="B3" s="31"/>
      <c r="C3" s="31"/>
      <c r="D3" s="31"/>
      <c r="E3" s="31"/>
      <c r="F3" s="31"/>
      <c r="G3" s="31"/>
      <c r="H3" s="31"/>
      <c r="I3" s="31"/>
      <c r="J3" s="31"/>
      <c r="K3" s="31"/>
      <c r="L3" s="31"/>
      <c r="M3" s="31"/>
    </row>
    <row r="4" spans="1:13" x14ac:dyDescent="0.35">
      <c r="A4" s="31" t="s">
        <v>1474</v>
      </c>
      <c r="B4" s="31"/>
      <c r="C4" s="31"/>
      <c r="D4" s="31"/>
      <c r="E4" s="31"/>
      <c r="F4" s="31"/>
      <c r="G4" s="31"/>
      <c r="H4" s="31"/>
      <c r="I4" s="31"/>
      <c r="J4" s="31"/>
      <c r="K4" s="31"/>
      <c r="L4" s="31"/>
      <c r="M4" s="31"/>
    </row>
    <row r="5" spans="1:13" x14ac:dyDescent="0.35">
      <c r="A5" s="31" t="s">
        <v>4</v>
      </c>
      <c r="B5" s="31"/>
      <c r="C5" s="31"/>
      <c r="D5" s="31"/>
      <c r="E5" s="31"/>
      <c r="F5" s="31"/>
      <c r="G5" s="31"/>
      <c r="H5" s="31"/>
      <c r="I5" s="31"/>
      <c r="J5" s="31"/>
      <c r="K5" s="31"/>
      <c r="L5" s="31"/>
      <c r="M5" s="31"/>
    </row>
    <row r="6" spans="1:13" x14ac:dyDescent="0.35">
      <c r="A6" s="31" t="s">
        <v>5</v>
      </c>
      <c r="B6" s="31"/>
      <c r="C6" s="31"/>
      <c r="D6" s="31"/>
      <c r="E6" s="31"/>
      <c r="F6" s="31"/>
      <c r="G6" s="31"/>
      <c r="H6" s="31"/>
      <c r="I6" s="31"/>
      <c r="J6" s="31"/>
      <c r="K6" s="31"/>
      <c r="L6" s="31"/>
      <c r="M6" s="31"/>
    </row>
    <row r="7" spans="1:13" x14ac:dyDescent="0.35">
      <c r="A7" s="1" t="s">
        <v>6</v>
      </c>
      <c r="B7" s="1" t="s">
        <v>7</v>
      </c>
      <c r="C7" s="1" t="s">
        <v>8</v>
      </c>
      <c r="D7" s="1" t="s">
        <v>9</v>
      </c>
      <c r="E7" s="1" t="s">
        <v>10</v>
      </c>
      <c r="F7" s="1" t="s">
        <v>11</v>
      </c>
      <c r="G7" s="1" t="s">
        <v>12</v>
      </c>
      <c r="H7" s="1" t="s">
        <v>13</v>
      </c>
      <c r="I7" s="1" t="s">
        <v>14</v>
      </c>
      <c r="J7" s="1" t="s">
        <v>15</v>
      </c>
      <c r="K7" s="1" t="s">
        <v>16</v>
      </c>
      <c r="L7" s="1" t="s">
        <v>17</v>
      </c>
      <c r="M7" s="1" t="s">
        <v>18</v>
      </c>
    </row>
    <row r="8" spans="1:13" x14ac:dyDescent="0.35">
      <c r="A8" s="2" t="s">
        <v>1457</v>
      </c>
      <c r="B8" s="2" t="s">
        <v>1456</v>
      </c>
      <c r="C8" s="2" t="s">
        <v>1473</v>
      </c>
      <c r="D8" s="2" t="s">
        <v>22</v>
      </c>
      <c r="E8" s="2" t="s">
        <v>1472</v>
      </c>
      <c r="F8" s="2" t="s">
        <v>1472</v>
      </c>
      <c r="G8" s="2" t="s">
        <v>1471</v>
      </c>
      <c r="H8" s="2" t="s">
        <v>1470</v>
      </c>
      <c r="I8" s="2"/>
      <c r="J8" s="2" t="s">
        <v>1469</v>
      </c>
      <c r="K8" s="2"/>
      <c r="L8" s="2"/>
      <c r="M8" s="3">
        <v>3</v>
      </c>
    </row>
    <row r="9" spans="1:13" x14ac:dyDescent="0.35">
      <c r="A9" s="2" t="s">
        <v>1457</v>
      </c>
      <c r="B9" s="2" t="s">
        <v>1456</v>
      </c>
      <c r="C9" s="2" t="s">
        <v>1468</v>
      </c>
      <c r="D9" s="2" t="s">
        <v>22</v>
      </c>
      <c r="E9" s="2" t="s">
        <v>1467</v>
      </c>
      <c r="F9" s="2" t="s">
        <v>1467</v>
      </c>
      <c r="G9" s="2" t="s">
        <v>1466</v>
      </c>
      <c r="H9" s="2" t="s">
        <v>1465</v>
      </c>
      <c r="I9" s="2"/>
      <c r="J9" s="2" t="s">
        <v>1464</v>
      </c>
      <c r="K9" s="2"/>
      <c r="L9" s="2"/>
      <c r="M9" s="3">
        <v>27</v>
      </c>
    </row>
    <row r="10" spans="1:13" x14ac:dyDescent="0.35">
      <c r="A10" s="2" t="s">
        <v>1457</v>
      </c>
      <c r="B10" s="2" t="s">
        <v>1456</v>
      </c>
      <c r="C10" s="2" t="s">
        <v>1463</v>
      </c>
      <c r="D10" s="2" t="s">
        <v>61</v>
      </c>
      <c r="E10" s="2" t="s">
        <v>1462</v>
      </c>
      <c r="F10" s="2" t="s">
        <v>1461</v>
      </c>
      <c r="G10" s="2" t="s">
        <v>1460</v>
      </c>
      <c r="H10" s="2" t="s">
        <v>1459</v>
      </c>
      <c r="I10" s="2"/>
      <c r="J10" s="2" t="s">
        <v>1458</v>
      </c>
      <c r="K10" s="2"/>
      <c r="L10" s="2"/>
      <c r="M10" s="3">
        <v>2</v>
      </c>
    </row>
    <row r="11" spans="1:13" x14ac:dyDescent="0.35">
      <c r="A11" s="2" t="s">
        <v>1457</v>
      </c>
      <c r="B11" s="2" t="s">
        <v>1456</v>
      </c>
      <c r="C11" s="2" t="s">
        <v>1455</v>
      </c>
      <c r="D11" s="2" t="s">
        <v>22</v>
      </c>
      <c r="E11" s="2" t="s">
        <v>1454</v>
      </c>
      <c r="F11" s="2" t="s">
        <v>1454</v>
      </c>
      <c r="G11" s="2" t="s">
        <v>1453</v>
      </c>
      <c r="H11" s="2" t="s">
        <v>1452</v>
      </c>
      <c r="I11" s="2"/>
      <c r="J11" s="2" t="s">
        <v>1451</v>
      </c>
      <c r="K11" s="2"/>
      <c r="L11" s="2"/>
      <c r="M11" s="3">
        <v>4</v>
      </c>
    </row>
    <row r="12" spans="1:13" x14ac:dyDescent="0.35">
      <c r="A12" s="2" t="s">
        <v>58</v>
      </c>
      <c r="B12" s="2" t="s">
        <v>59</v>
      </c>
      <c r="C12" s="2" t="s">
        <v>1450</v>
      </c>
      <c r="D12" s="2" t="s">
        <v>22</v>
      </c>
      <c r="E12" s="2" t="s">
        <v>1449</v>
      </c>
      <c r="F12" s="2" t="s">
        <v>1449</v>
      </c>
      <c r="G12" s="2" t="s">
        <v>1448</v>
      </c>
      <c r="H12" s="2" t="s">
        <v>1447</v>
      </c>
      <c r="I12" s="2"/>
      <c r="J12" s="2" t="s">
        <v>1446</v>
      </c>
      <c r="K12" s="2"/>
      <c r="L12" s="2"/>
      <c r="M12" s="3">
        <v>1926</v>
      </c>
    </row>
    <row r="13" spans="1:13" x14ac:dyDescent="0.35">
      <c r="A13" s="2" t="s">
        <v>58</v>
      </c>
      <c r="B13" s="2" t="s">
        <v>59</v>
      </c>
      <c r="C13" s="2" t="s">
        <v>1445</v>
      </c>
      <c r="D13" s="2" t="s">
        <v>22</v>
      </c>
      <c r="E13" s="2" t="s">
        <v>1444</v>
      </c>
      <c r="F13" s="2" t="s">
        <v>1444</v>
      </c>
      <c r="G13" s="2" t="s">
        <v>1443</v>
      </c>
      <c r="H13" s="2" t="s">
        <v>1442</v>
      </c>
      <c r="I13" s="2"/>
      <c r="J13" s="2" t="s">
        <v>1441</v>
      </c>
      <c r="K13" s="2"/>
      <c r="L13" s="2"/>
      <c r="M13" s="3">
        <v>685</v>
      </c>
    </row>
    <row r="14" spans="1:13" x14ac:dyDescent="0.35">
      <c r="A14" s="2" t="s">
        <v>58</v>
      </c>
      <c r="B14" s="2" t="s">
        <v>59</v>
      </c>
      <c r="C14" s="2" t="s">
        <v>1440</v>
      </c>
      <c r="D14" s="2" t="s">
        <v>22</v>
      </c>
      <c r="E14" s="2" t="s">
        <v>1439</v>
      </c>
      <c r="F14" s="2" t="s">
        <v>1439</v>
      </c>
      <c r="G14" s="2" t="s">
        <v>1438</v>
      </c>
      <c r="H14" s="2" t="s">
        <v>1437</v>
      </c>
      <c r="I14" s="2"/>
      <c r="J14" s="2" t="s">
        <v>1436</v>
      </c>
      <c r="K14" s="2"/>
      <c r="L14" s="2"/>
      <c r="M14" s="3">
        <v>5</v>
      </c>
    </row>
    <row r="15" spans="1:13" x14ac:dyDescent="0.35">
      <c r="A15" s="2" t="s">
        <v>58</v>
      </c>
      <c r="B15" s="2" t="s">
        <v>59</v>
      </c>
      <c r="C15" s="2" t="s">
        <v>1435</v>
      </c>
      <c r="D15" s="2" t="s">
        <v>22</v>
      </c>
      <c r="E15" s="2" t="s">
        <v>1434</v>
      </c>
      <c r="F15" s="2" t="s">
        <v>1434</v>
      </c>
      <c r="G15" s="2" t="s">
        <v>1433</v>
      </c>
      <c r="H15" s="2" t="s">
        <v>1432</v>
      </c>
      <c r="I15" s="2"/>
      <c r="J15" s="2" t="s">
        <v>1431</v>
      </c>
      <c r="K15" s="2"/>
      <c r="L15" s="2"/>
      <c r="M15" s="3">
        <v>1296</v>
      </c>
    </row>
    <row r="16" spans="1:13" x14ac:dyDescent="0.35">
      <c r="A16" s="2" t="s">
        <v>58</v>
      </c>
      <c r="B16" s="2" t="s">
        <v>59</v>
      </c>
      <c r="C16" s="2" t="s">
        <v>1430</v>
      </c>
      <c r="D16" s="2" t="s">
        <v>22</v>
      </c>
      <c r="E16" s="2" t="s">
        <v>1429</v>
      </c>
      <c r="F16" s="2" t="s">
        <v>1429</v>
      </c>
      <c r="G16" s="2" t="s">
        <v>1428</v>
      </c>
      <c r="H16" s="2" t="s">
        <v>1427</v>
      </c>
      <c r="I16" s="2"/>
      <c r="J16" s="2" t="s">
        <v>1426</v>
      </c>
      <c r="K16" s="2"/>
      <c r="L16" s="2"/>
      <c r="M16" s="3">
        <v>1</v>
      </c>
    </row>
    <row r="17" spans="1:13" x14ac:dyDescent="0.35">
      <c r="A17" s="2" t="s">
        <v>58</v>
      </c>
      <c r="B17" s="2" t="s">
        <v>59</v>
      </c>
      <c r="C17" s="2" t="s">
        <v>1425</v>
      </c>
      <c r="D17" s="2" t="s">
        <v>22</v>
      </c>
      <c r="E17" s="2" t="s">
        <v>1424</v>
      </c>
      <c r="F17" s="2" t="s">
        <v>1424</v>
      </c>
      <c r="G17" s="2" t="s">
        <v>1423</v>
      </c>
      <c r="H17" s="2" t="s">
        <v>1422</v>
      </c>
      <c r="I17" s="2"/>
      <c r="J17" s="2" t="s">
        <v>1421</v>
      </c>
      <c r="K17" s="2"/>
      <c r="L17" s="2"/>
      <c r="M17" s="3">
        <v>1</v>
      </c>
    </row>
    <row r="18" spans="1:13" x14ac:dyDescent="0.35">
      <c r="A18" s="2" t="s">
        <v>58</v>
      </c>
      <c r="B18" s="2" t="s">
        <v>59</v>
      </c>
      <c r="C18" s="2" t="s">
        <v>1420</v>
      </c>
      <c r="D18" s="2" t="s">
        <v>22</v>
      </c>
      <c r="E18" s="2" t="s">
        <v>1419</v>
      </c>
      <c r="F18" s="2" t="s">
        <v>1419</v>
      </c>
      <c r="G18" s="2" t="s">
        <v>1418</v>
      </c>
      <c r="H18" s="2" t="s">
        <v>1417</v>
      </c>
      <c r="I18" s="2"/>
      <c r="J18" s="2" t="s">
        <v>1416</v>
      </c>
      <c r="K18" s="2"/>
      <c r="L18" s="2"/>
      <c r="M18" s="3">
        <v>1</v>
      </c>
    </row>
    <row r="19" spans="1:13" x14ac:dyDescent="0.35">
      <c r="A19" s="2" t="s">
        <v>58</v>
      </c>
      <c r="B19" s="2" t="s">
        <v>59</v>
      </c>
      <c r="C19" s="2" t="s">
        <v>1415</v>
      </c>
      <c r="D19" s="2" t="s">
        <v>22</v>
      </c>
      <c r="E19" s="2" t="s">
        <v>1414</v>
      </c>
      <c r="F19" s="2" t="s">
        <v>1414</v>
      </c>
      <c r="G19" s="2" t="s">
        <v>1413</v>
      </c>
      <c r="H19" s="2" t="s">
        <v>1412</v>
      </c>
      <c r="I19" s="2"/>
      <c r="J19" s="2" t="s">
        <v>1411</v>
      </c>
      <c r="K19" s="2"/>
      <c r="L19" s="2"/>
      <c r="M19" s="3">
        <v>13</v>
      </c>
    </row>
    <row r="20" spans="1:13" x14ac:dyDescent="0.35">
      <c r="A20" s="2" t="s">
        <v>58</v>
      </c>
      <c r="B20" s="2" t="s">
        <v>59</v>
      </c>
      <c r="C20" s="2" t="s">
        <v>1410</v>
      </c>
      <c r="D20" s="2" t="s">
        <v>22</v>
      </c>
      <c r="E20" s="2" t="s">
        <v>1409</v>
      </c>
      <c r="F20" s="2" t="s">
        <v>1409</v>
      </c>
      <c r="G20" s="2" t="s">
        <v>1408</v>
      </c>
      <c r="H20" s="2" t="s">
        <v>1407</v>
      </c>
      <c r="I20" s="2"/>
      <c r="J20" s="2" t="s">
        <v>1406</v>
      </c>
      <c r="K20" s="2"/>
      <c r="L20" s="2"/>
      <c r="M20" s="3">
        <v>11</v>
      </c>
    </row>
    <row r="21" spans="1:13" x14ac:dyDescent="0.35">
      <c r="A21" s="2" t="s">
        <v>58</v>
      </c>
      <c r="B21" s="2" t="s">
        <v>59</v>
      </c>
      <c r="C21" s="2" t="s">
        <v>1405</v>
      </c>
      <c r="D21" s="2" t="s">
        <v>22</v>
      </c>
      <c r="E21" s="2" t="s">
        <v>1404</v>
      </c>
      <c r="F21" s="2" t="s">
        <v>1404</v>
      </c>
      <c r="G21" s="2" t="s">
        <v>1403</v>
      </c>
      <c r="H21" s="2" t="s">
        <v>1402</v>
      </c>
      <c r="I21" s="2"/>
      <c r="J21" s="2" t="s">
        <v>1401</v>
      </c>
      <c r="K21" s="2"/>
      <c r="L21" s="2"/>
      <c r="M21" s="3">
        <v>1229</v>
      </c>
    </row>
    <row r="22" spans="1:13" x14ac:dyDescent="0.35">
      <c r="A22" s="2" t="s">
        <v>58</v>
      </c>
      <c r="B22" s="2" t="s">
        <v>59</v>
      </c>
      <c r="C22" s="2" t="s">
        <v>1400</v>
      </c>
      <c r="D22" s="2" t="s">
        <v>22</v>
      </c>
      <c r="E22" s="2" t="s">
        <v>1399</v>
      </c>
      <c r="F22" s="2" t="s">
        <v>1399</v>
      </c>
      <c r="G22" s="2" t="s">
        <v>1398</v>
      </c>
      <c r="H22" s="2" t="s">
        <v>1397</v>
      </c>
      <c r="I22" s="2"/>
      <c r="J22" s="2" t="s">
        <v>1396</v>
      </c>
      <c r="K22" s="2"/>
      <c r="L22" s="2"/>
      <c r="M22" s="3">
        <v>8</v>
      </c>
    </row>
    <row r="23" spans="1:13" x14ac:dyDescent="0.35">
      <c r="A23" s="2" t="s">
        <v>58</v>
      </c>
      <c r="B23" s="2" t="s">
        <v>59</v>
      </c>
      <c r="C23" s="2" t="s">
        <v>1395</v>
      </c>
      <c r="D23" s="2" t="s">
        <v>22</v>
      </c>
      <c r="E23" s="2" t="s">
        <v>1394</v>
      </c>
      <c r="F23" s="2" t="s">
        <v>1394</v>
      </c>
      <c r="G23" s="2" t="s">
        <v>1393</v>
      </c>
      <c r="H23" s="2" t="s">
        <v>1392</v>
      </c>
      <c r="I23" s="2"/>
      <c r="J23" s="2" t="s">
        <v>1391</v>
      </c>
      <c r="K23" s="2"/>
      <c r="L23" s="2"/>
      <c r="M23" s="3">
        <v>2</v>
      </c>
    </row>
    <row r="24" spans="1:13" x14ac:dyDescent="0.35">
      <c r="A24" s="2" t="s">
        <v>58</v>
      </c>
      <c r="B24" s="2" t="s">
        <v>59</v>
      </c>
      <c r="C24" s="2" t="s">
        <v>1390</v>
      </c>
      <c r="D24" s="2" t="s">
        <v>22</v>
      </c>
      <c r="E24" s="2" t="s">
        <v>1389</v>
      </c>
      <c r="F24" s="2" t="s">
        <v>1389</v>
      </c>
      <c r="G24" s="2" t="s">
        <v>1388</v>
      </c>
      <c r="H24" s="2" t="s">
        <v>1387</v>
      </c>
      <c r="I24" s="2"/>
      <c r="J24" s="2" t="s">
        <v>1386</v>
      </c>
      <c r="K24" s="2"/>
      <c r="L24" s="2"/>
      <c r="M24" s="3">
        <v>474</v>
      </c>
    </row>
    <row r="25" spans="1:13" x14ac:dyDescent="0.35">
      <c r="A25" s="2" t="s">
        <v>58</v>
      </c>
      <c r="B25" s="2" t="s">
        <v>59</v>
      </c>
      <c r="C25" s="2" t="s">
        <v>1385</v>
      </c>
      <c r="D25" s="2" t="s">
        <v>22</v>
      </c>
      <c r="E25" s="2" t="s">
        <v>1384</v>
      </c>
      <c r="F25" s="2" t="s">
        <v>1384</v>
      </c>
      <c r="G25" s="2" t="s">
        <v>1383</v>
      </c>
      <c r="H25" s="2" t="s">
        <v>1382</v>
      </c>
      <c r="I25" s="2"/>
      <c r="J25" s="2" t="s">
        <v>1381</v>
      </c>
      <c r="K25" s="2"/>
      <c r="L25" s="2"/>
      <c r="M25" s="3">
        <v>245</v>
      </c>
    </row>
    <row r="26" spans="1:13" x14ac:dyDescent="0.35">
      <c r="A26" s="2" t="s">
        <v>58</v>
      </c>
      <c r="B26" s="2" t="s">
        <v>59</v>
      </c>
      <c r="C26" s="2" t="s">
        <v>1380</v>
      </c>
      <c r="D26" s="2" t="s">
        <v>22</v>
      </c>
      <c r="E26" s="2" t="s">
        <v>1379</v>
      </c>
      <c r="F26" s="2" t="s">
        <v>1379</v>
      </c>
      <c r="G26" s="2" t="s">
        <v>1378</v>
      </c>
      <c r="H26" s="2" t="s">
        <v>1377</v>
      </c>
      <c r="I26" s="2"/>
      <c r="J26" s="2" t="s">
        <v>1376</v>
      </c>
      <c r="K26" s="2"/>
      <c r="L26" s="2"/>
      <c r="M26" s="3">
        <v>45</v>
      </c>
    </row>
    <row r="27" spans="1:13" x14ac:dyDescent="0.35">
      <c r="A27" s="2"/>
      <c r="B27" s="2"/>
      <c r="C27" s="2" t="s">
        <v>1375</v>
      </c>
      <c r="D27" s="2" t="s">
        <v>22</v>
      </c>
      <c r="E27" s="2"/>
      <c r="F27" s="2"/>
      <c r="G27" s="2"/>
      <c r="H27" s="2"/>
      <c r="I27" s="2"/>
      <c r="J27" s="2"/>
      <c r="K27" s="2"/>
      <c r="L27" s="2"/>
      <c r="M27" s="3">
        <v>0</v>
      </c>
    </row>
    <row r="28" spans="1:13" x14ac:dyDescent="0.35">
      <c r="A28" s="2"/>
      <c r="B28" s="2"/>
      <c r="C28" s="2" t="s">
        <v>1374</v>
      </c>
      <c r="D28" s="2" t="s">
        <v>22</v>
      </c>
      <c r="E28" s="2"/>
      <c r="F28" s="2"/>
      <c r="G28" s="2"/>
      <c r="H28" s="2"/>
      <c r="I28" s="2"/>
      <c r="J28" s="2"/>
      <c r="K28" s="2"/>
      <c r="L28" s="2"/>
      <c r="M28" s="3">
        <v>0</v>
      </c>
    </row>
    <row r="29" spans="1:13" x14ac:dyDescent="0.35">
      <c r="A29" s="2"/>
      <c r="B29" s="2"/>
      <c r="C29" s="2" t="s">
        <v>1373</v>
      </c>
      <c r="D29" s="2" t="s">
        <v>22</v>
      </c>
      <c r="E29" s="2"/>
      <c r="F29" s="2"/>
      <c r="G29" s="2"/>
      <c r="H29" s="2"/>
      <c r="I29" s="2"/>
      <c r="J29" s="2"/>
      <c r="K29" s="2"/>
      <c r="L29" s="2"/>
      <c r="M29" s="3">
        <v>0</v>
      </c>
    </row>
    <row r="30" spans="1:13" x14ac:dyDescent="0.35">
      <c r="A30" s="2"/>
      <c r="B30" s="2"/>
      <c r="C30" s="2" t="s">
        <v>1372</v>
      </c>
      <c r="D30" s="2" t="s">
        <v>22</v>
      </c>
      <c r="E30" s="2" t="s">
        <v>1371</v>
      </c>
      <c r="F30" s="2" t="s">
        <v>1370</v>
      </c>
      <c r="G30" s="2" t="s">
        <v>1369</v>
      </c>
      <c r="H30" s="2" t="s">
        <v>1368</v>
      </c>
      <c r="I30" s="2"/>
      <c r="J30" s="2"/>
      <c r="K30" s="2"/>
      <c r="L30" s="2"/>
      <c r="M30" s="3">
        <v>0</v>
      </c>
    </row>
    <row r="31" spans="1:13" x14ac:dyDescent="0.35">
      <c r="A31" s="2"/>
      <c r="B31" s="2"/>
      <c r="C31" s="2" t="s">
        <v>1367</v>
      </c>
      <c r="D31" s="2" t="s">
        <v>22</v>
      </c>
      <c r="E31" s="2"/>
      <c r="F31" s="2"/>
      <c r="G31" s="2"/>
      <c r="H31" s="2"/>
      <c r="I31" s="2"/>
      <c r="J31" s="2"/>
      <c r="K31" s="2"/>
      <c r="L31" s="2"/>
      <c r="M31" s="3">
        <v>0</v>
      </c>
    </row>
    <row r="32" spans="1:13" x14ac:dyDescent="0.35">
      <c r="A32" s="2"/>
      <c r="B32" s="2"/>
      <c r="C32" s="2" t="s">
        <v>1366</v>
      </c>
      <c r="D32" s="2" t="s">
        <v>22</v>
      </c>
      <c r="E32" s="2"/>
      <c r="F32" s="2"/>
      <c r="G32" s="2"/>
      <c r="H32" s="2"/>
      <c r="I32" s="2"/>
      <c r="J32" s="2"/>
      <c r="K32" s="2"/>
      <c r="L32" s="2"/>
      <c r="M32" s="3">
        <v>1</v>
      </c>
    </row>
    <row r="33" spans="1:13" x14ac:dyDescent="0.35">
      <c r="A33" s="2"/>
      <c r="B33" s="2"/>
      <c r="C33" s="2" t="s">
        <v>1365</v>
      </c>
      <c r="D33" s="2" t="s">
        <v>22</v>
      </c>
      <c r="E33" s="2"/>
      <c r="F33" s="2"/>
      <c r="G33" s="2"/>
      <c r="H33" s="2"/>
      <c r="I33" s="2"/>
      <c r="J33" s="2"/>
      <c r="K33" s="2"/>
      <c r="L33" s="2"/>
      <c r="M33" s="3">
        <v>0</v>
      </c>
    </row>
    <row r="34" spans="1:13" x14ac:dyDescent="0.35">
      <c r="A34" s="2"/>
      <c r="B34" s="2"/>
      <c r="C34" s="2" t="s">
        <v>1364</v>
      </c>
      <c r="D34" s="2" t="s">
        <v>22</v>
      </c>
      <c r="E34" s="2"/>
      <c r="F34" s="2"/>
      <c r="G34" s="2"/>
      <c r="H34" s="2"/>
      <c r="I34" s="2"/>
      <c r="J34" s="2"/>
      <c r="K34" s="2"/>
      <c r="L34" s="2"/>
      <c r="M34" s="3">
        <v>0</v>
      </c>
    </row>
    <row r="35" spans="1:13" x14ac:dyDescent="0.35">
      <c r="A35" s="2"/>
      <c r="B35" s="2"/>
      <c r="C35" s="2" t="s">
        <v>1363</v>
      </c>
      <c r="D35" s="2" t="s">
        <v>22</v>
      </c>
      <c r="E35" s="2"/>
      <c r="F35" s="2"/>
      <c r="G35" s="2"/>
      <c r="H35" s="2"/>
      <c r="I35" s="2"/>
      <c r="J35" s="2"/>
      <c r="K35" s="2"/>
      <c r="L35" s="2"/>
      <c r="M35" s="3">
        <v>0</v>
      </c>
    </row>
    <row r="36" spans="1:13" x14ac:dyDescent="0.35">
      <c r="A36" s="2"/>
      <c r="B36" s="2"/>
      <c r="C36" s="2" t="s">
        <v>1362</v>
      </c>
      <c r="D36" s="2" t="s">
        <v>22</v>
      </c>
      <c r="E36" s="2"/>
      <c r="F36" s="2"/>
      <c r="G36" s="2"/>
      <c r="H36" s="2"/>
      <c r="I36" s="2"/>
      <c r="J36" s="2"/>
      <c r="K36" s="2"/>
      <c r="L36" s="2"/>
      <c r="M36" s="3">
        <v>0</v>
      </c>
    </row>
  </sheetData>
  <mergeCells count="6">
    <mergeCell ref="A6:M6"/>
    <mergeCell ref="A1:M1"/>
    <mergeCell ref="A2:M2"/>
    <mergeCell ref="A3:M3"/>
    <mergeCell ref="A4:M4"/>
    <mergeCell ref="A5:M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3CDB1-B213-4E07-8671-917C8F193F2A}">
  <dimension ref="A1:M40"/>
  <sheetViews>
    <sheetView workbookViewId="0">
      <selection activeCell="C15" sqref="C15"/>
    </sheetView>
  </sheetViews>
  <sheetFormatPr defaultRowHeight="14.5" x14ac:dyDescent="0.35"/>
  <cols>
    <col min="1" max="2" width="12.7265625" customWidth="1"/>
    <col min="3" max="3" width="31.7265625" customWidth="1"/>
    <col min="4" max="4" width="16.7265625" customWidth="1"/>
    <col min="5" max="5" width="33.7265625" customWidth="1"/>
    <col min="6" max="8" width="50.7265625" customWidth="1"/>
    <col min="9" max="9" width="5.7265625" customWidth="1"/>
    <col min="10" max="10" width="50.7265625" customWidth="1"/>
    <col min="11" max="11" width="16.7265625" customWidth="1"/>
    <col min="12" max="12" width="25.7265625" customWidth="1"/>
    <col min="13" max="13" width="20.7265625" customWidth="1"/>
  </cols>
  <sheetData>
    <row r="1" spans="1:13" ht="22.5" x14ac:dyDescent="0.35">
      <c r="A1" s="32" t="s">
        <v>0</v>
      </c>
      <c r="B1" s="32"/>
      <c r="C1" s="32"/>
      <c r="D1" s="32"/>
      <c r="E1" s="32"/>
      <c r="F1" s="32"/>
      <c r="G1" s="32"/>
      <c r="H1" s="32"/>
      <c r="I1" s="32"/>
      <c r="J1" s="32"/>
      <c r="K1" s="32"/>
      <c r="L1" s="32"/>
      <c r="M1" s="32"/>
    </row>
    <row r="2" spans="1:13" ht="15.5" x14ac:dyDescent="0.35">
      <c r="A2" s="33" t="s">
        <v>1096</v>
      </c>
      <c r="B2" s="33"/>
      <c r="C2" s="33"/>
      <c r="D2" s="33"/>
      <c r="E2" s="33"/>
      <c r="F2" s="33"/>
      <c r="G2" s="33"/>
      <c r="H2" s="33"/>
      <c r="I2" s="33"/>
      <c r="J2" s="33"/>
      <c r="K2" s="33"/>
      <c r="L2" s="33"/>
      <c r="M2" s="33"/>
    </row>
    <row r="3" spans="1:13" x14ac:dyDescent="0.35">
      <c r="A3" s="31" t="s">
        <v>2</v>
      </c>
      <c r="B3" s="31"/>
      <c r="C3" s="31"/>
      <c r="D3" s="31"/>
      <c r="E3" s="31"/>
      <c r="F3" s="31"/>
      <c r="G3" s="31"/>
      <c r="H3" s="31"/>
      <c r="I3" s="31"/>
      <c r="J3" s="31"/>
      <c r="K3" s="31"/>
      <c r="L3" s="31"/>
      <c r="M3" s="31"/>
    </row>
    <row r="4" spans="1:13" x14ac:dyDescent="0.35">
      <c r="A4" s="31" t="s">
        <v>1095</v>
      </c>
      <c r="B4" s="31"/>
      <c r="C4" s="31"/>
      <c r="D4" s="31"/>
      <c r="E4" s="31"/>
      <c r="F4" s="31"/>
      <c r="G4" s="31"/>
      <c r="H4" s="31"/>
      <c r="I4" s="31"/>
      <c r="J4" s="31"/>
      <c r="K4" s="31"/>
      <c r="L4" s="31"/>
      <c r="M4" s="31"/>
    </row>
    <row r="5" spans="1:13" x14ac:dyDescent="0.35">
      <c r="A5" s="31" t="s">
        <v>4</v>
      </c>
      <c r="B5" s="31"/>
      <c r="C5" s="31"/>
      <c r="D5" s="31"/>
      <c r="E5" s="31"/>
      <c r="F5" s="31"/>
      <c r="G5" s="31"/>
      <c r="H5" s="31"/>
      <c r="I5" s="31"/>
      <c r="J5" s="31"/>
      <c r="K5" s="31"/>
      <c r="L5" s="31"/>
      <c r="M5" s="31"/>
    </row>
    <row r="6" spans="1:13" x14ac:dyDescent="0.35">
      <c r="A6" s="31" t="s">
        <v>5</v>
      </c>
      <c r="B6" s="31"/>
      <c r="C6" s="31"/>
      <c r="D6" s="31"/>
      <c r="E6" s="31"/>
      <c r="F6" s="31"/>
      <c r="G6" s="31"/>
      <c r="H6" s="31"/>
      <c r="I6" s="31"/>
      <c r="J6" s="31"/>
      <c r="K6" s="31"/>
      <c r="L6" s="31"/>
      <c r="M6" s="31"/>
    </row>
    <row r="7" spans="1:13" x14ac:dyDescent="0.35">
      <c r="A7" s="1" t="s">
        <v>6</v>
      </c>
      <c r="B7" s="1" t="s">
        <v>7</v>
      </c>
      <c r="C7" s="1" t="s">
        <v>8</v>
      </c>
      <c r="D7" s="1" t="s">
        <v>9</v>
      </c>
      <c r="E7" s="1" t="s">
        <v>10</v>
      </c>
      <c r="F7" s="1" t="s">
        <v>11</v>
      </c>
      <c r="G7" s="1" t="s">
        <v>12</v>
      </c>
      <c r="H7" s="1" t="s">
        <v>13</v>
      </c>
      <c r="I7" s="1" t="s">
        <v>14</v>
      </c>
      <c r="J7" s="1" t="s">
        <v>15</v>
      </c>
      <c r="K7" s="1" t="s">
        <v>16</v>
      </c>
      <c r="L7" s="1" t="s">
        <v>17</v>
      </c>
      <c r="M7" s="1" t="s">
        <v>18</v>
      </c>
    </row>
    <row r="8" spans="1:13" x14ac:dyDescent="0.35">
      <c r="A8" s="2" t="s">
        <v>1041</v>
      </c>
      <c r="B8" s="2" t="s">
        <v>1040</v>
      </c>
      <c r="C8" s="2" t="s">
        <v>1094</v>
      </c>
      <c r="D8" s="2" t="s">
        <v>22</v>
      </c>
      <c r="E8" s="2" t="s">
        <v>1093</v>
      </c>
      <c r="F8" s="2" t="s">
        <v>1092</v>
      </c>
      <c r="G8" s="2" t="s">
        <v>1091</v>
      </c>
      <c r="H8" s="2" t="s">
        <v>1090</v>
      </c>
      <c r="I8" s="2"/>
      <c r="J8" s="2" t="s">
        <v>1089</v>
      </c>
      <c r="K8" s="2"/>
      <c r="L8" s="2"/>
      <c r="M8" s="3">
        <v>1</v>
      </c>
    </row>
    <row r="9" spans="1:13" x14ac:dyDescent="0.35">
      <c r="A9" s="2" t="s">
        <v>1041</v>
      </c>
      <c r="B9" s="2" t="s">
        <v>1040</v>
      </c>
      <c r="C9" s="2" t="s">
        <v>1088</v>
      </c>
      <c r="D9" s="2" t="s">
        <v>22</v>
      </c>
      <c r="E9" s="2" t="s">
        <v>1074</v>
      </c>
      <c r="F9" s="2" t="s">
        <v>1073</v>
      </c>
      <c r="G9" s="2" t="s">
        <v>1087</v>
      </c>
      <c r="H9" s="2" t="s">
        <v>1086</v>
      </c>
      <c r="I9" s="2"/>
      <c r="J9" s="2" t="s">
        <v>1085</v>
      </c>
      <c r="K9" s="2"/>
      <c r="L9" s="2"/>
      <c r="M9" s="3">
        <v>4</v>
      </c>
    </row>
    <row r="10" spans="1:13" x14ac:dyDescent="0.35">
      <c r="A10" s="2" t="s">
        <v>1041</v>
      </c>
      <c r="B10" s="2" t="s">
        <v>1040</v>
      </c>
      <c r="C10" s="2" t="s">
        <v>1084</v>
      </c>
      <c r="D10" s="2" t="s">
        <v>22</v>
      </c>
      <c r="E10" s="2" t="s">
        <v>1083</v>
      </c>
      <c r="F10" s="2" t="s">
        <v>1043</v>
      </c>
      <c r="G10" s="2" t="s">
        <v>1082</v>
      </c>
      <c r="H10" s="2" t="s">
        <v>1081</v>
      </c>
      <c r="I10" s="2"/>
      <c r="J10" s="2" t="s">
        <v>1080</v>
      </c>
      <c r="K10" s="2"/>
      <c r="L10" s="2"/>
      <c r="M10" s="3">
        <v>7</v>
      </c>
    </row>
    <row r="11" spans="1:13" x14ac:dyDescent="0.35">
      <c r="A11" s="2" t="s">
        <v>1041</v>
      </c>
      <c r="B11" s="2" t="s">
        <v>1040</v>
      </c>
      <c r="C11" s="2" t="s">
        <v>1079</v>
      </c>
      <c r="D11" s="2" t="s">
        <v>22</v>
      </c>
      <c r="E11" s="2" t="s">
        <v>1078</v>
      </c>
      <c r="F11" s="2" t="s">
        <v>1043</v>
      </c>
      <c r="G11" s="2" t="s">
        <v>1067</v>
      </c>
      <c r="H11" s="2" t="s">
        <v>1077</v>
      </c>
      <c r="I11" s="2"/>
      <c r="J11" s="2" t="s">
        <v>1076</v>
      </c>
      <c r="K11" s="2"/>
      <c r="L11" s="2"/>
      <c r="M11" s="3">
        <v>2</v>
      </c>
    </row>
    <row r="12" spans="1:13" x14ac:dyDescent="0.35">
      <c r="A12" s="2" t="s">
        <v>1041</v>
      </c>
      <c r="B12" s="2" t="s">
        <v>1040</v>
      </c>
      <c r="C12" s="2" t="s">
        <v>1075</v>
      </c>
      <c r="D12" s="2" t="s">
        <v>22</v>
      </c>
      <c r="E12" s="2" t="s">
        <v>1074</v>
      </c>
      <c r="F12" s="2" t="s">
        <v>1073</v>
      </c>
      <c r="G12" s="2" t="s">
        <v>1072</v>
      </c>
      <c r="H12" s="2" t="s">
        <v>1071</v>
      </c>
      <c r="I12" s="2"/>
      <c r="J12" s="2"/>
      <c r="K12" s="2"/>
      <c r="L12" s="2"/>
      <c r="M12" s="3">
        <v>1</v>
      </c>
    </row>
    <row r="13" spans="1:13" x14ac:dyDescent="0.35">
      <c r="A13" s="2" t="s">
        <v>1041</v>
      </c>
      <c r="B13" s="2" t="s">
        <v>1040</v>
      </c>
      <c r="C13" s="2" t="s">
        <v>1070</v>
      </c>
      <c r="D13" s="2" t="s">
        <v>22</v>
      </c>
      <c r="E13" s="2" t="s">
        <v>1069</v>
      </c>
      <c r="F13" s="2" t="s">
        <v>1068</v>
      </c>
      <c r="G13" s="2" t="s">
        <v>1067</v>
      </c>
      <c r="H13" s="2" t="s">
        <v>1066</v>
      </c>
      <c r="I13" s="2"/>
      <c r="J13" s="2"/>
      <c r="K13" s="2"/>
      <c r="L13" s="2"/>
      <c r="M13" s="3">
        <v>0</v>
      </c>
    </row>
    <row r="14" spans="1:13" x14ac:dyDescent="0.35">
      <c r="A14" s="2" t="s">
        <v>1041</v>
      </c>
      <c r="B14" s="2" t="s">
        <v>1040</v>
      </c>
      <c r="C14" s="2" t="s">
        <v>1065</v>
      </c>
      <c r="D14" s="2" t="s">
        <v>22</v>
      </c>
      <c r="E14" s="2" t="s">
        <v>1064</v>
      </c>
      <c r="F14" s="2" t="s">
        <v>1063</v>
      </c>
      <c r="G14" s="2" t="s">
        <v>1062</v>
      </c>
      <c r="H14" s="2" t="s">
        <v>1061</v>
      </c>
      <c r="I14" s="2"/>
      <c r="J14" s="2" t="s">
        <v>1060</v>
      </c>
      <c r="K14" s="2"/>
      <c r="L14" s="2"/>
      <c r="M14" s="3">
        <v>1</v>
      </c>
    </row>
    <row r="15" spans="1:13" x14ac:dyDescent="0.35">
      <c r="A15" s="2" t="s">
        <v>1041</v>
      </c>
      <c r="B15" s="2" t="s">
        <v>1040</v>
      </c>
      <c r="C15" s="2" t="s">
        <v>1055</v>
      </c>
      <c r="D15" s="2" t="s">
        <v>22</v>
      </c>
      <c r="E15" s="2" t="s">
        <v>1059</v>
      </c>
      <c r="F15" s="2" t="s">
        <v>1058</v>
      </c>
      <c r="G15" s="2" t="s">
        <v>1057</v>
      </c>
      <c r="H15" s="2" t="s">
        <v>1056</v>
      </c>
      <c r="I15" s="2"/>
      <c r="J15" s="2" t="s">
        <v>1055</v>
      </c>
      <c r="K15" s="2"/>
      <c r="L15" s="2"/>
      <c r="M15" s="3">
        <v>2</v>
      </c>
    </row>
    <row r="16" spans="1:13" x14ac:dyDescent="0.35">
      <c r="A16" s="2" t="s">
        <v>1041</v>
      </c>
      <c r="B16" s="2" t="s">
        <v>1040</v>
      </c>
      <c r="C16" s="2" t="s">
        <v>1054</v>
      </c>
      <c r="D16" s="2" t="s">
        <v>22</v>
      </c>
      <c r="E16" s="2" t="s">
        <v>1053</v>
      </c>
      <c r="F16" s="2" t="s">
        <v>1052</v>
      </c>
      <c r="G16" s="2" t="s">
        <v>1051</v>
      </c>
      <c r="H16" s="2" t="s">
        <v>1050</v>
      </c>
      <c r="I16" s="2"/>
      <c r="J16" s="2"/>
      <c r="K16" s="2"/>
      <c r="L16" s="2"/>
      <c r="M16" s="3">
        <v>1</v>
      </c>
    </row>
    <row r="17" spans="1:13" x14ac:dyDescent="0.35">
      <c r="A17" s="2" t="s">
        <v>1041</v>
      </c>
      <c r="B17" s="2" t="s">
        <v>1040</v>
      </c>
      <c r="C17" s="2" t="s">
        <v>1049</v>
      </c>
      <c r="D17" s="2" t="s">
        <v>22</v>
      </c>
      <c r="E17" s="2" t="s">
        <v>1009</v>
      </c>
      <c r="F17" s="2" t="s">
        <v>1048</v>
      </c>
      <c r="G17" s="2" t="s">
        <v>1047</v>
      </c>
      <c r="H17" s="2" t="s">
        <v>1046</v>
      </c>
      <c r="I17" s="2"/>
      <c r="J17" s="2"/>
      <c r="K17" s="2"/>
      <c r="L17" s="2"/>
      <c r="M17" s="3">
        <v>1</v>
      </c>
    </row>
    <row r="18" spans="1:13" x14ac:dyDescent="0.35">
      <c r="A18" s="2" t="s">
        <v>1041</v>
      </c>
      <c r="B18" s="2" t="s">
        <v>1040</v>
      </c>
      <c r="C18" s="2" t="s">
        <v>1045</v>
      </c>
      <c r="D18" s="2" t="s">
        <v>22</v>
      </c>
      <c r="E18" s="2" t="s">
        <v>1044</v>
      </c>
      <c r="F18" s="2" t="s">
        <v>1043</v>
      </c>
      <c r="G18" s="2" t="s">
        <v>1036</v>
      </c>
      <c r="H18" s="2" t="s">
        <v>1042</v>
      </c>
      <c r="I18" s="2"/>
      <c r="J18" s="2" t="s">
        <v>1034</v>
      </c>
      <c r="K18" s="2"/>
      <c r="L18" s="2"/>
      <c r="M18" s="3">
        <v>1</v>
      </c>
    </row>
    <row r="19" spans="1:13" x14ac:dyDescent="0.35">
      <c r="A19" s="2" t="s">
        <v>1041</v>
      </c>
      <c r="B19" s="2" t="s">
        <v>1040</v>
      </c>
      <c r="C19" s="2" t="s">
        <v>1039</v>
      </c>
      <c r="D19" s="2" t="s">
        <v>22</v>
      </c>
      <c r="E19" s="2" t="s">
        <v>1038</v>
      </c>
      <c r="F19" s="2" t="s">
        <v>1037</v>
      </c>
      <c r="G19" s="2" t="s">
        <v>1036</v>
      </c>
      <c r="H19" s="2" t="s">
        <v>1035</v>
      </c>
      <c r="I19" s="2"/>
      <c r="J19" s="2" t="s">
        <v>1034</v>
      </c>
      <c r="K19" s="2"/>
      <c r="L19" s="2"/>
      <c r="M19" s="3">
        <v>0</v>
      </c>
    </row>
    <row r="20" spans="1:13" x14ac:dyDescent="0.35">
      <c r="A20" s="2" t="s">
        <v>58</v>
      </c>
      <c r="B20" s="2" t="s">
        <v>59</v>
      </c>
      <c r="C20" s="2" t="s">
        <v>1033</v>
      </c>
      <c r="D20" s="2" t="s">
        <v>22</v>
      </c>
      <c r="E20" s="2" t="s">
        <v>1032</v>
      </c>
      <c r="F20" s="2" t="s">
        <v>1032</v>
      </c>
      <c r="G20" s="2" t="s">
        <v>1031</v>
      </c>
      <c r="H20" s="2" t="s">
        <v>1030</v>
      </c>
      <c r="I20" s="2"/>
      <c r="J20" s="2" t="s">
        <v>1029</v>
      </c>
      <c r="K20" s="2"/>
      <c r="L20" s="2"/>
      <c r="M20" s="3">
        <v>320</v>
      </c>
    </row>
    <row r="21" spans="1:13" x14ac:dyDescent="0.35">
      <c r="A21" s="2" t="s">
        <v>58</v>
      </c>
      <c r="B21" s="2" t="s">
        <v>59</v>
      </c>
      <c r="C21" s="2" t="s">
        <v>1028</v>
      </c>
      <c r="D21" s="2" t="s">
        <v>22</v>
      </c>
      <c r="E21" s="2" t="s">
        <v>1027</v>
      </c>
      <c r="F21" s="2" t="s">
        <v>1027</v>
      </c>
      <c r="G21" s="2" t="s">
        <v>1026</v>
      </c>
      <c r="H21" s="2" t="s">
        <v>1025</v>
      </c>
      <c r="I21" s="2"/>
      <c r="J21" s="2"/>
      <c r="K21" s="2"/>
      <c r="L21" s="2"/>
      <c r="M21" s="3">
        <v>5</v>
      </c>
    </row>
    <row r="22" spans="1:13" x14ac:dyDescent="0.35">
      <c r="A22" s="2" t="s">
        <v>58</v>
      </c>
      <c r="B22" s="2" t="s">
        <v>59</v>
      </c>
      <c r="C22" s="2" t="s">
        <v>1024</v>
      </c>
      <c r="D22" s="2" t="s">
        <v>22</v>
      </c>
      <c r="E22" s="2" t="s">
        <v>1023</v>
      </c>
      <c r="F22" s="2" t="s">
        <v>1023</v>
      </c>
      <c r="G22" s="2" t="s">
        <v>1022</v>
      </c>
      <c r="H22" s="2" t="s">
        <v>1021</v>
      </c>
      <c r="I22" s="2"/>
      <c r="J22" s="2" t="s">
        <v>1020</v>
      </c>
      <c r="K22" s="2"/>
      <c r="L22" s="2"/>
      <c r="M22" s="3">
        <v>220</v>
      </c>
    </row>
    <row r="23" spans="1:13" x14ac:dyDescent="0.35">
      <c r="A23" s="2" t="s">
        <v>58</v>
      </c>
      <c r="B23" s="2" t="s">
        <v>59</v>
      </c>
      <c r="C23" s="2" t="s">
        <v>1019</v>
      </c>
      <c r="D23" s="2" t="s">
        <v>22</v>
      </c>
      <c r="E23" s="2" t="s">
        <v>1018</v>
      </c>
      <c r="F23" s="2" t="s">
        <v>1018</v>
      </c>
      <c r="G23" s="2" t="s">
        <v>1017</v>
      </c>
      <c r="H23" s="2" t="s">
        <v>1016</v>
      </c>
      <c r="I23" s="2"/>
      <c r="J23" s="2"/>
      <c r="K23" s="2"/>
      <c r="L23" s="2"/>
      <c r="M23" s="3">
        <v>12</v>
      </c>
    </row>
    <row r="24" spans="1:13" x14ac:dyDescent="0.35">
      <c r="A24" s="2" t="s">
        <v>58</v>
      </c>
      <c r="B24" s="2" t="s">
        <v>59</v>
      </c>
      <c r="C24" s="2" t="s">
        <v>1015</v>
      </c>
      <c r="D24" s="2" t="s">
        <v>22</v>
      </c>
      <c r="E24" s="2" t="s">
        <v>1014</v>
      </c>
      <c r="F24" s="2" t="s">
        <v>1014</v>
      </c>
      <c r="G24" s="2" t="s">
        <v>1013</v>
      </c>
      <c r="H24" s="2" t="s">
        <v>1012</v>
      </c>
      <c r="I24" s="2"/>
      <c r="J24" s="2" t="s">
        <v>1011</v>
      </c>
      <c r="K24" s="2"/>
      <c r="L24" s="2"/>
      <c r="M24" s="3">
        <v>1</v>
      </c>
    </row>
    <row r="25" spans="1:13" x14ac:dyDescent="0.35">
      <c r="A25" s="2" t="s">
        <v>58</v>
      </c>
      <c r="B25" s="2" t="s">
        <v>59</v>
      </c>
      <c r="C25" s="2" t="s">
        <v>1010</v>
      </c>
      <c r="D25" s="2" t="s">
        <v>22</v>
      </c>
      <c r="E25" s="2" t="s">
        <v>1009</v>
      </c>
      <c r="F25" s="2" t="s">
        <v>1009</v>
      </c>
      <c r="G25" s="2" t="s">
        <v>1008</v>
      </c>
      <c r="H25" s="2" t="s">
        <v>1007</v>
      </c>
      <c r="I25" s="2"/>
      <c r="J25" s="2" t="s">
        <v>1006</v>
      </c>
      <c r="K25" s="2"/>
      <c r="L25" s="2"/>
      <c r="M25" s="3">
        <v>12</v>
      </c>
    </row>
    <row r="26" spans="1:13" x14ac:dyDescent="0.35">
      <c r="A26" s="2" t="s">
        <v>58</v>
      </c>
      <c r="B26" s="2" t="s">
        <v>59</v>
      </c>
      <c r="C26" s="2" t="s">
        <v>1005</v>
      </c>
      <c r="D26" s="2" t="s">
        <v>22</v>
      </c>
      <c r="E26" s="2" t="s">
        <v>1004</v>
      </c>
      <c r="F26" s="2" t="s">
        <v>1004</v>
      </c>
      <c r="G26" s="2" t="s">
        <v>1003</v>
      </c>
      <c r="H26" s="2" t="s">
        <v>1002</v>
      </c>
      <c r="I26" s="2"/>
      <c r="J26" s="2" t="s">
        <v>1001</v>
      </c>
      <c r="K26" s="2"/>
      <c r="L26" s="2"/>
      <c r="M26" s="3">
        <v>1</v>
      </c>
    </row>
    <row r="27" spans="1:13" x14ac:dyDescent="0.35">
      <c r="A27" s="2" t="s">
        <v>58</v>
      </c>
      <c r="B27" s="2" t="s">
        <v>59</v>
      </c>
      <c r="C27" s="2" t="s">
        <v>1000</v>
      </c>
      <c r="D27" s="2" t="s">
        <v>22</v>
      </c>
      <c r="E27" s="2" t="s">
        <v>999</v>
      </c>
      <c r="F27" s="2" t="s">
        <v>999</v>
      </c>
      <c r="G27" s="2" t="s">
        <v>998</v>
      </c>
      <c r="H27" s="2" t="s">
        <v>997</v>
      </c>
      <c r="I27" s="2"/>
      <c r="J27" s="2" t="s">
        <v>996</v>
      </c>
      <c r="K27" s="2"/>
      <c r="L27" s="2"/>
      <c r="M27" s="3">
        <v>266</v>
      </c>
    </row>
    <row r="28" spans="1:13" x14ac:dyDescent="0.35">
      <c r="A28" s="2" t="s">
        <v>58</v>
      </c>
      <c r="B28" s="2" t="s">
        <v>59</v>
      </c>
      <c r="C28" s="2" t="s">
        <v>995</v>
      </c>
      <c r="D28" s="2" t="s">
        <v>22</v>
      </c>
      <c r="E28" s="2" t="s">
        <v>994</v>
      </c>
      <c r="F28" s="2" t="s">
        <v>994</v>
      </c>
      <c r="G28" s="2" t="s">
        <v>993</v>
      </c>
      <c r="H28" s="2" t="s">
        <v>992</v>
      </c>
      <c r="I28" s="2"/>
      <c r="J28" s="2" t="s">
        <v>991</v>
      </c>
      <c r="K28" s="2"/>
      <c r="L28" s="2"/>
      <c r="M28" s="3">
        <v>27</v>
      </c>
    </row>
    <row r="29" spans="1:13" x14ac:dyDescent="0.35">
      <c r="A29" s="2" t="s">
        <v>58</v>
      </c>
      <c r="B29" s="2" t="s">
        <v>59</v>
      </c>
      <c r="C29" s="2" t="s">
        <v>990</v>
      </c>
      <c r="D29" s="2" t="s">
        <v>22</v>
      </c>
      <c r="E29" s="2" t="s">
        <v>989</v>
      </c>
      <c r="F29" s="2" t="s">
        <v>989</v>
      </c>
      <c r="G29" s="2" t="s">
        <v>988</v>
      </c>
      <c r="H29" s="2" t="s">
        <v>987</v>
      </c>
      <c r="I29" s="2"/>
      <c r="J29" s="2" t="s">
        <v>986</v>
      </c>
      <c r="K29" s="2"/>
      <c r="L29" s="2"/>
      <c r="M29" s="3">
        <v>153</v>
      </c>
    </row>
    <row r="30" spans="1:13" x14ac:dyDescent="0.35">
      <c r="A30" s="2" t="s">
        <v>58</v>
      </c>
      <c r="B30" s="2" t="s">
        <v>59</v>
      </c>
      <c r="C30" s="2" t="s">
        <v>985</v>
      </c>
      <c r="D30" s="2" t="s">
        <v>22</v>
      </c>
      <c r="E30" s="2" t="s">
        <v>984</v>
      </c>
      <c r="F30" s="2" t="s">
        <v>984</v>
      </c>
      <c r="G30" s="2" t="s">
        <v>983</v>
      </c>
      <c r="H30" s="2" t="s">
        <v>982</v>
      </c>
      <c r="I30" s="2"/>
      <c r="J30" s="2" t="s">
        <v>946</v>
      </c>
      <c r="K30" s="2"/>
      <c r="L30" s="2"/>
      <c r="M30" s="3">
        <v>727</v>
      </c>
    </row>
    <row r="31" spans="1:13" x14ac:dyDescent="0.35">
      <c r="A31" s="2" t="s">
        <v>58</v>
      </c>
      <c r="B31" s="2" t="s">
        <v>59</v>
      </c>
      <c r="C31" s="2" t="s">
        <v>981</v>
      </c>
      <c r="D31" s="2" t="s">
        <v>22</v>
      </c>
      <c r="E31" s="2" t="s">
        <v>980</v>
      </c>
      <c r="F31" s="2" t="s">
        <v>980</v>
      </c>
      <c r="G31" s="2" t="s">
        <v>979</v>
      </c>
      <c r="H31" s="2" t="s">
        <v>978</v>
      </c>
      <c r="I31" s="2"/>
      <c r="J31" s="2" t="s">
        <v>977</v>
      </c>
      <c r="K31" s="2"/>
      <c r="L31" s="2"/>
      <c r="M31" s="3">
        <v>20</v>
      </c>
    </row>
    <row r="32" spans="1:13" x14ac:dyDescent="0.35">
      <c r="A32" s="2" t="s">
        <v>58</v>
      </c>
      <c r="B32" s="2" t="s">
        <v>59</v>
      </c>
      <c r="C32" s="2" t="s">
        <v>976</v>
      </c>
      <c r="D32" s="2" t="s">
        <v>22</v>
      </c>
      <c r="E32" s="2" t="s">
        <v>975</v>
      </c>
      <c r="F32" s="2" t="s">
        <v>975</v>
      </c>
      <c r="G32" s="2" t="s">
        <v>974</v>
      </c>
      <c r="H32" s="2" t="s">
        <v>973</v>
      </c>
      <c r="I32" s="2"/>
      <c r="J32" s="2" t="s">
        <v>972</v>
      </c>
      <c r="K32" s="2"/>
      <c r="L32" s="2"/>
      <c r="M32" s="3">
        <v>247</v>
      </c>
    </row>
    <row r="33" spans="1:13" x14ac:dyDescent="0.35">
      <c r="A33" s="2" t="s">
        <v>58</v>
      </c>
      <c r="B33" s="2" t="s">
        <v>59</v>
      </c>
      <c r="C33" s="2" t="s">
        <v>971</v>
      </c>
      <c r="D33" s="2" t="s">
        <v>22</v>
      </c>
      <c r="E33" s="2" t="s">
        <v>970</v>
      </c>
      <c r="F33" s="2" t="s">
        <v>970</v>
      </c>
      <c r="G33" s="2" t="s">
        <v>969</v>
      </c>
      <c r="H33" s="2" t="s">
        <v>968</v>
      </c>
      <c r="I33" s="2"/>
      <c r="J33" s="2" t="s">
        <v>967</v>
      </c>
      <c r="K33" s="2"/>
      <c r="L33" s="2"/>
      <c r="M33" s="3">
        <v>11</v>
      </c>
    </row>
    <row r="34" spans="1:13" x14ac:dyDescent="0.35">
      <c r="A34" s="2" t="s">
        <v>58</v>
      </c>
      <c r="B34" s="2" t="s">
        <v>59</v>
      </c>
      <c r="C34" s="2" t="s">
        <v>966</v>
      </c>
      <c r="D34" s="2" t="s">
        <v>22</v>
      </c>
      <c r="E34" s="2" t="s">
        <v>965</v>
      </c>
      <c r="F34" s="2" t="s">
        <v>965</v>
      </c>
      <c r="G34" s="2" t="s">
        <v>964</v>
      </c>
      <c r="H34" s="2" t="s">
        <v>963</v>
      </c>
      <c r="I34" s="2"/>
      <c r="J34" s="2"/>
      <c r="K34" s="2"/>
      <c r="L34" s="2"/>
      <c r="M34" s="3">
        <v>3</v>
      </c>
    </row>
    <row r="35" spans="1:13" x14ac:dyDescent="0.35">
      <c r="A35" s="2" t="s">
        <v>58</v>
      </c>
      <c r="B35" s="2" t="s">
        <v>59</v>
      </c>
      <c r="C35" s="2" t="s">
        <v>962</v>
      </c>
      <c r="D35" s="2" t="s">
        <v>22</v>
      </c>
      <c r="E35" s="2" t="s">
        <v>961</v>
      </c>
      <c r="F35" s="2" t="s">
        <v>961</v>
      </c>
      <c r="G35" s="2" t="s">
        <v>960</v>
      </c>
      <c r="H35" s="2" t="s">
        <v>959</v>
      </c>
      <c r="I35" s="2"/>
      <c r="J35" s="2" t="s">
        <v>958</v>
      </c>
      <c r="K35" s="2"/>
      <c r="L35" s="2"/>
      <c r="M35" s="3">
        <v>449</v>
      </c>
    </row>
    <row r="36" spans="1:13" x14ac:dyDescent="0.35">
      <c r="A36" s="2" t="s">
        <v>58</v>
      </c>
      <c r="B36" s="2" t="s">
        <v>59</v>
      </c>
      <c r="C36" s="2" t="s">
        <v>957</v>
      </c>
      <c r="D36" s="2" t="s">
        <v>22</v>
      </c>
      <c r="E36" s="2" t="s">
        <v>956</v>
      </c>
      <c r="F36" s="2" t="s">
        <v>956</v>
      </c>
      <c r="G36" s="2" t="s">
        <v>955</v>
      </c>
      <c r="H36" s="2" t="s">
        <v>954</v>
      </c>
      <c r="I36" s="2"/>
      <c r="J36" s="2"/>
      <c r="K36" s="2"/>
      <c r="L36" s="2"/>
      <c r="M36" s="3">
        <v>356</v>
      </c>
    </row>
    <row r="37" spans="1:13" x14ac:dyDescent="0.35">
      <c r="A37" s="2" t="s">
        <v>58</v>
      </c>
      <c r="B37" s="2" t="s">
        <v>59</v>
      </c>
      <c r="C37" s="2" t="s">
        <v>950</v>
      </c>
      <c r="D37" s="2" t="s">
        <v>22</v>
      </c>
      <c r="E37" s="2" t="s">
        <v>953</v>
      </c>
      <c r="F37" s="2" t="s">
        <v>953</v>
      </c>
      <c r="G37" s="2" t="s">
        <v>952</v>
      </c>
      <c r="H37" s="2" t="s">
        <v>951</v>
      </c>
      <c r="I37" s="2"/>
      <c r="J37" s="2" t="s">
        <v>950</v>
      </c>
      <c r="K37" s="2"/>
      <c r="L37" s="2"/>
      <c r="M37" s="3">
        <v>245</v>
      </c>
    </row>
    <row r="38" spans="1:13" x14ac:dyDescent="0.35">
      <c r="A38" s="2" t="s">
        <v>949</v>
      </c>
      <c r="B38" s="2" t="s">
        <v>59</v>
      </c>
      <c r="C38" s="2" t="s">
        <v>948</v>
      </c>
      <c r="D38" s="2" t="s">
        <v>22</v>
      </c>
      <c r="E38" s="2" t="s">
        <v>947</v>
      </c>
      <c r="F38" s="2" t="s">
        <v>947</v>
      </c>
      <c r="G38" s="2"/>
      <c r="H38" s="2"/>
      <c r="I38" s="2"/>
      <c r="J38" s="2" t="s">
        <v>946</v>
      </c>
      <c r="K38" s="2"/>
      <c r="L38" s="2"/>
      <c r="M38" s="3">
        <v>7</v>
      </c>
    </row>
    <row r="39" spans="1:13" x14ac:dyDescent="0.35">
      <c r="A39" s="2"/>
      <c r="B39" s="2"/>
      <c r="C39" s="2" t="s">
        <v>945</v>
      </c>
      <c r="D39" s="2" t="s">
        <v>22</v>
      </c>
      <c r="E39" s="2"/>
      <c r="F39" s="2"/>
      <c r="G39" s="2"/>
      <c r="H39" s="2"/>
      <c r="I39" s="2"/>
      <c r="J39" s="2"/>
      <c r="K39" s="2"/>
      <c r="L39" s="2"/>
      <c r="M39" s="3">
        <v>2</v>
      </c>
    </row>
    <row r="40" spans="1:13" x14ac:dyDescent="0.35">
      <c r="A40" s="2"/>
      <c r="B40" s="2"/>
      <c r="C40" s="2" t="s">
        <v>575</v>
      </c>
      <c r="D40" s="2" t="s">
        <v>22</v>
      </c>
      <c r="E40" s="2"/>
      <c r="F40" s="2"/>
      <c r="G40" s="2"/>
      <c r="H40" s="2"/>
      <c r="I40" s="2"/>
      <c r="J40" s="2"/>
      <c r="K40" s="2"/>
      <c r="L40" s="2"/>
      <c r="M40" s="3">
        <v>0</v>
      </c>
    </row>
  </sheetData>
  <mergeCells count="6">
    <mergeCell ref="A6:M6"/>
    <mergeCell ref="A1:M1"/>
    <mergeCell ref="A2:M2"/>
    <mergeCell ref="A3:M3"/>
    <mergeCell ref="A4:M4"/>
    <mergeCell ref="A5:M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3C960-91E2-4399-B35F-89154DF3D311}">
  <dimension ref="A1:M43"/>
  <sheetViews>
    <sheetView workbookViewId="0">
      <selection activeCell="C15" sqref="C15"/>
    </sheetView>
  </sheetViews>
  <sheetFormatPr defaultRowHeight="14.5" x14ac:dyDescent="0.35"/>
  <cols>
    <col min="1" max="2" width="12.7265625" customWidth="1"/>
    <col min="3" max="3" width="31.7265625" customWidth="1"/>
    <col min="4" max="4" width="16.7265625" customWidth="1"/>
    <col min="5" max="8" width="50.7265625" customWidth="1"/>
    <col min="9" max="9" width="5.7265625" customWidth="1"/>
    <col min="10" max="10" width="50.7265625" customWidth="1"/>
    <col min="11" max="11" width="16.7265625" customWidth="1"/>
    <col min="12" max="12" width="25.7265625" customWidth="1"/>
    <col min="13" max="13" width="20.7265625" customWidth="1"/>
  </cols>
  <sheetData>
    <row r="1" spans="1:13" ht="22.5" x14ac:dyDescent="0.35">
      <c r="A1" s="32" t="s">
        <v>0</v>
      </c>
      <c r="B1" s="32"/>
      <c r="C1" s="32"/>
      <c r="D1" s="32"/>
      <c r="E1" s="32"/>
      <c r="F1" s="32"/>
      <c r="G1" s="32"/>
      <c r="H1" s="32"/>
      <c r="I1" s="32"/>
      <c r="J1" s="32"/>
      <c r="K1" s="32"/>
      <c r="L1" s="32"/>
      <c r="M1" s="32"/>
    </row>
    <row r="2" spans="1:13" ht="15.5" x14ac:dyDescent="0.35">
      <c r="A2" s="33" t="s">
        <v>1228</v>
      </c>
      <c r="B2" s="33"/>
      <c r="C2" s="33"/>
      <c r="D2" s="33"/>
      <c r="E2" s="33"/>
      <c r="F2" s="33"/>
      <c r="G2" s="33"/>
      <c r="H2" s="33"/>
      <c r="I2" s="33"/>
      <c r="J2" s="33"/>
      <c r="K2" s="33"/>
      <c r="L2" s="33"/>
      <c r="M2" s="33"/>
    </row>
    <row r="3" spans="1:13" x14ac:dyDescent="0.35">
      <c r="A3" s="31" t="s">
        <v>2</v>
      </c>
      <c r="B3" s="31"/>
      <c r="C3" s="31"/>
      <c r="D3" s="31"/>
      <c r="E3" s="31"/>
      <c r="F3" s="31"/>
      <c r="G3" s="31"/>
      <c r="H3" s="31"/>
      <c r="I3" s="31"/>
      <c r="J3" s="31"/>
      <c r="K3" s="31"/>
      <c r="L3" s="31"/>
      <c r="M3" s="31"/>
    </row>
    <row r="4" spans="1:13" x14ac:dyDescent="0.35">
      <c r="A4" s="31" t="s">
        <v>1227</v>
      </c>
      <c r="B4" s="31"/>
      <c r="C4" s="31"/>
      <c r="D4" s="31"/>
      <c r="E4" s="31"/>
      <c r="F4" s="31"/>
      <c r="G4" s="31"/>
      <c r="H4" s="31"/>
      <c r="I4" s="31"/>
      <c r="J4" s="31"/>
      <c r="K4" s="31"/>
      <c r="L4" s="31"/>
      <c r="M4" s="31"/>
    </row>
    <row r="5" spans="1:13" x14ac:dyDescent="0.35">
      <c r="A5" s="31" t="s">
        <v>4</v>
      </c>
      <c r="B5" s="31"/>
      <c r="C5" s="31"/>
      <c r="D5" s="31"/>
      <c r="E5" s="31"/>
      <c r="F5" s="31"/>
      <c r="G5" s="31"/>
      <c r="H5" s="31"/>
      <c r="I5" s="31"/>
      <c r="J5" s="31"/>
      <c r="K5" s="31"/>
      <c r="L5" s="31"/>
      <c r="M5" s="31"/>
    </row>
    <row r="6" spans="1:13" x14ac:dyDescent="0.35">
      <c r="A6" s="31" t="s">
        <v>5</v>
      </c>
      <c r="B6" s="31"/>
      <c r="C6" s="31"/>
      <c r="D6" s="31"/>
      <c r="E6" s="31"/>
      <c r="F6" s="31"/>
      <c r="G6" s="31"/>
      <c r="H6" s="31"/>
      <c r="I6" s="31"/>
      <c r="J6" s="31"/>
      <c r="K6" s="31"/>
      <c r="L6" s="31"/>
      <c r="M6" s="31"/>
    </row>
    <row r="7" spans="1:13" x14ac:dyDescent="0.35">
      <c r="A7" s="1" t="s">
        <v>6</v>
      </c>
      <c r="B7" s="1" t="s">
        <v>7</v>
      </c>
      <c r="C7" s="1" t="s">
        <v>8</v>
      </c>
      <c r="D7" s="1" t="s">
        <v>9</v>
      </c>
      <c r="E7" s="1" t="s">
        <v>10</v>
      </c>
      <c r="F7" s="1" t="s">
        <v>11</v>
      </c>
      <c r="G7" s="1" t="s">
        <v>12</v>
      </c>
      <c r="H7" s="1" t="s">
        <v>13</v>
      </c>
      <c r="I7" s="1" t="s">
        <v>14</v>
      </c>
      <c r="J7" s="1" t="s">
        <v>15</v>
      </c>
      <c r="K7" s="1" t="s">
        <v>16</v>
      </c>
      <c r="L7" s="1" t="s">
        <v>17</v>
      </c>
      <c r="M7" s="1" t="s">
        <v>18</v>
      </c>
    </row>
    <row r="8" spans="1:13" x14ac:dyDescent="0.35">
      <c r="A8" s="2" t="s">
        <v>1221</v>
      </c>
      <c r="B8" s="2" t="s">
        <v>1220</v>
      </c>
      <c r="C8" s="2" t="s">
        <v>1226</v>
      </c>
      <c r="D8" s="2" t="s">
        <v>22</v>
      </c>
      <c r="E8" s="2" t="s">
        <v>1225</v>
      </c>
      <c r="F8" s="2" t="s">
        <v>1224</v>
      </c>
      <c r="G8" s="2" t="s">
        <v>1223</v>
      </c>
      <c r="H8" s="2" t="s">
        <v>1222</v>
      </c>
      <c r="I8" s="2"/>
      <c r="J8" s="2"/>
      <c r="K8" s="2"/>
      <c r="L8" s="2"/>
      <c r="M8" s="3">
        <v>4</v>
      </c>
    </row>
    <row r="9" spans="1:13" x14ac:dyDescent="0.35">
      <c r="A9" s="2" t="s">
        <v>1221</v>
      </c>
      <c r="B9" s="2" t="s">
        <v>1220</v>
      </c>
      <c r="C9" s="2" t="s">
        <v>1219</v>
      </c>
      <c r="D9" s="2" t="s">
        <v>22</v>
      </c>
      <c r="E9" s="2" t="s">
        <v>1218</v>
      </c>
      <c r="F9" s="2" t="s">
        <v>1217</v>
      </c>
      <c r="G9" s="2" t="s">
        <v>1216</v>
      </c>
      <c r="H9" s="2" t="s">
        <v>1215</v>
      </c>
      <c r="I9" s="2"/>
      <c r="J9" s="2"/>
      <c r="K9" s="2"/>
      <c r="L9" s="2"/>
      <c r="M9" s="3">
        <v>2</v>
      </c>
    </row>
    <row r="10" spans="1:13" x14ac:dyDescent="0.35">
      <c r="A10" s="2" t="s">
        <v>58</v>
      </c>
      <c r="B10" s="2" t="s">
        <v>59</v>
      </c>
      <c r="C10" s="2" t="s">
        <v>1214</v>
      </c>
      <c r="D10" s="2" t="s">
        <v>61</v>
      </c>
      <c r="E10" s="2" t="s">
        <v>1213</v>
      </c>
      <c r="F10" s="2" t="s">
        <v>1213</v>
      </c>
      <c r="G10" s="2" t="s">
        <v>1212</v>
      </c>
      <c r="H10" s="2" t="s">
        <v>1211</v>
      </c>
      <c r="I10" s="2"/>
      <c r="J10" s="2" t="s">
        <v>1210</v>
      </c>
      <c r="K10" s="2"/>
      <c r="L10" s="2"/>
      <c r="M10" s="3">
        <v>452</v>
      </c>
    </row>
    <row r="11" spans="1:13" x14ac:dyDescent="0.35">
      <c r="A11" s="2" t="s">
        <v>58</v>
      </c>
      <c r="B11" s="2" t="s">
        <v>59</v>
      </c>
      <c r="C11" s="2" t="s">
        <v>1209</v>
      </c>
      <c r="D11" s="2" t="s">
        <v>61</v>
      </c>
      <c r="E11" s="2" t="s">
        <v>379</v>
      </c>
      <c r="F11" s="2" t="s">
        <v>379</v>
      </c>
      <c r="G11" s="2" t="s">
        <v>1208</v>
      </c>
      <c r="H11" s="2" t="s">
        <v>1207</v>
      </c>
      <c r="I11" s="2"/>
      <c r="J11" s="2" t="s">
        <v>1206</v>
      </c>
      <c r="K11" s="2"/>
      <c r="L11" s="2"/>
      <c r="M11" s="3">
        <v>11093</v>
      </c>
    </row>
    <row r="12" spans="1:13" x14ac:dyDescent="0.35">
      <c r="A12" s="2" t="s">
        <v>58</v>
      </c>
      <c r="B12" s="2" t="s">
        <v>59</v>
      </c>
      <c r="C12" s="2" t="s">
        <v>1205</v>
      </c>
      <c r="D12" s="2" t="s">
        <v>61</v>
      </c>
      <c r="E12" s="2" t="s">
        <v>1204</v>
      </c>
      <c r="F12" s="2" t="s">
        <v>1204</v>
      </c>
      <c r="G12" s="2" t="s">
        <v>1203</v>
      </c>
      <c r="H12" s="2" t="s">
        <v>1202</v>
      </c>
      <c r="I12" s="2"/>
      <c r="J12" s="2" t="s">
        <v>1201</v>
      </c>
      <c r="K12" s="2"/>
      <c r="L12" s="2"/>
      <c r="M12" s="3">
        <v>908</v>
      </c>
    </row>
    <row r="13" spans="1:13" x14ac:dyDescent="0.35">
      <c r="A13" s="2" t="s">
        <v>58</v>
      </c>
      <c r="B13" s="2" t="s">
        <v>59</v>
      </c>
      <c r="C13" s="2" t="s">
        <v>571</v>
      </c>
      <c r="D13" s="2" t="s">
        <v>61</v>
      </c>
      <c r="E13" s="2" t="s">
        <v>1200</v>
      </c>
      <c r="F13" s="2" t="s">
        <v>1200</v>
      </c>
      <c r="G13" s="2" t="s">
        <v>1199</v>
      </c>
      <c r="H13" s="2"/>
      <c r="I13" s="2"/>
      <c r="J13" s="2" t="s">
        <v>1198</v>
      </c>
      <c r="K13" s="2"/>
      <c r="L13" s="2"/>
      <c r="M13" s="3">
        <v>1</v>
      </c>
    </row>
    <row r="14" spans="1:13" x14ac:dyDescent="0.35">
      <c r="A14" s="2" t="s">
        <v>58</v>
      </c>
      <c r="B14" s="2" t="s">
        <v>59</v>
      </c>
      <c r="C14" s="2" t="s">
        <v>1197</v>
      </c>
      <c r="D14" s="2" t="s">
        <v>61</v>
      </c>
      <c r="E14" s="2" t="s">
        <v>1196</v>
      </c>
      <c r="F14" s="2" t="s">
        <v>1196</v>
      </c>
      <c r="G14" s="2" t="s">
        <v>1195</v>
      </c>
      <c r="H14" s="2" t="s">
        <v>1194</v>
      </c>
      <c r="I14" s="2"/>
      <c r="J14" s="2" t="s">
        <v>161</v>
      </c>
      <c r="K14" s="2"/>
      <c r="L14" s="2"/>
      <c r="M14" s="3">
        <v>1</v>
      </c>
    </row>
    <row r="15" spans="1:13" x14ac:dyDescent="0.35">
      <c r="A15" s="2" t="s">
        <v>58</v>
      </c>
      <c r="B15" s="2" t="s">
        <v>59</v>
      </c>
      <c r="C15" s="2" t="s">
        <v>1193</v>
      </c>
      <c r="D15" s="2" t="s">
        <v>61</v>
      </c>
      <c r="E15" s="2" t="s">
        <v>77</v>
      </c>
      <c r="F15" s="2" t="s">
        <v>77</v>
      </c>
      <c r="G15" s="2" t="s">
        <v>1192</v>
      </c>
      <c r="H15" s="2" t="s">
        <v>1191</v>
      </c>
      <c r="I15" s="2"/>
      <c r="J15" s="2" t="s">
        <v>1190</v>
      </c>
      <c r="K15" s="2"/>
      <c r="L15" s="2"/>
      <c r="M15" s="3">
        <v>23</v>
      </c>
    </row>
    <row r="16" spans="1:13" x14ac:dyDescent="0.35">
      <c r="A16" s="2" t="s">
        <v>58</v>
      </c>
      <c r="B16" s="2" t="s">
        <v>59</v>
      </c>
      <c r="C16" s="2" t="s">
        <v>472</v>
      </c>
      <c r="D16" s="2" t="s">
        <v>61</v>
      </c>
      <c r="E16" s="2" t="s">
        <v>1189</v>
      </c>
      <c r="F16" s="2" t="s">
        <v>1189</v>
      </c>
      <c r="G16" s="2" t="s">
        <v>1188</v>
      </c>
      <c r="H16" s="2" t="s">
        <v>1187</v>
      </c>
      <c r="I16" s="2"/>
      <c r="J16" s="2" t="s">
        <v>1186</v>
      </c>
      <c r="K16" s="2"/>
      <c r="L16" s="2"/>
      <c r="M16" s="3">
        <v>1</v>
      </c>
    </row>
    <row r="17" spans="1:13" x14ac:dyDescent="0.35">
      <c r="A17" s="2" t="s">
        <v>58</v>
      </c>
      <c r="B17" s="2" t="s">
        <v>59</v>
      </c>
      <c r="C17" s="2" t="s">
        <v>441</v>
      </c>
      <c r="D17" s="2" t="s">
        <v>22</v>
      </c>
      <c r="E17" s="2" t="s">
        <v>1185</v>
      </c>
      <c r="F17" s="2" t="s">
        <v>1185</v>
      </c>
      <c r="G17" s="2" t="s">
        <v>1184</v>
      </c>
      <c r="H17" s="2" t="s">
        <v>1183</v>
      </c>
      <c r="I17" s="2"/>
      <c r="J17" s="2" t="s">
        <v>1182</v>
      </c>
      <c r="K17" s="2"/>
      <c r="L17" s="2"/>
      <c r="M17" s="3">
        <v>5</v>
      </c>
    </row>
    <row r="18" spans="1:13" x14ac:dyDescent="0.35">
      <c r="A18" s="2" t="s">
        <v>58</v>
      </c>
      <c r="B18" s="2" t="s">
        <v>59</v>
      </c>
      <c r="C18" s="2" t="s">
        <v>515</v>
      </c>
      <c r="D18" s="2" t="s">
        <v>22</v>
      </c>
      <c r="E18" s="2" t="s">
        <v>1181</v>
      </c>
      <c r="F18" s="2" t="s">
        <v>1181</v>
      </c>
      <c r="G18" s="2" t="s">
        <v>1180</v>
      </c>
      <c r="H18" s="2" t="s">
        <v>1179</v>
      </c>
      <c r="I18" s="2"/>
      <c r="J18" s="2" t="s">
        <v>1178</v>
      </c>
      <c r="K18" s="2"/>
      <c r="L18" s="2"/>
      <c r="M18" s="3">
        <v>373</v>
      </c>
    </row>
    <row r="19" spans="1:13" x14ac:dyDescent="0.35">
      <c r="A19" s="2" t="s">
        <v>58</v>
      </c>
      <c r="B19" s="2" t="s">
        <v>59</v>
      </c>
      <c r="C19" s="2" t="s">
        <v>1177</v>
      </c>
      <c r="D19" s="2" t="s">
        <v>22</v>
      </c>
      <c r="E19" s="2" t="s">
        <v>110</v>
      </c>
      <c r="F19" s="2" t="s">
        <v>110</v>
      </c>
      <c r="G19" s="2" t="s">
        <v>1176</v>
      </c>
      <c r="H19" s="2" t="s">
        <v>1175</v>
      </c>
      <c r="I19" s="2"/>
      <c r="J19" s="2"/>
      <c r="K19" s="2"/>
      <c r="L19" s="2"/>
      <c r="M19" s="3">
        <v>45</v>
      </c>
    </row>
    <row r="20" spans="1:13" x14ac:dyDescent="0.35">
      <c r="A20" s="2" t="s">
        <v>58</v>
      </c>
      <c r="B20" s="2" t="s">
        <v>59</v>
      </c>
      <c r="C20" s="2" t="s">
        <v>1174</v>
      </c>
      <c r="D20" s="2" t="s">
        <v>22</v>
      </c>
      <c r="E20" s="2" t="s">
        <v>1173</v>
      </c>
      <c r="F20" s="2" t="s">
        <v>1173</v>
      </c>
      <c r="G20" s="2" t="s">
        <v>1172</v>
      </c>
      <c r="H20" s="2" t="s">
        <v>1171</v>
      </c>
      <c r="I20" s="2"/>
      <c r="J20" s="2" t="s">
        <v>1170</v>
      </c>
      <c r="K20" s="2"/>
      <c r="L20" s="2"/>
      <c r="M20" s="3">
        <v>27</v>
      </c>
    </row>
    <row r="21" spans="1:13" x14ac:dyDescent="0.35">
      <c r="A21" s="2" t="s">
        <v>58</v>
      </c>
      <c r="B21" s="2" t="s">
        <v>59</v>
      </c>
      <c r="C21" s="2" t="s">
        <v>1169</v>
      </c>
      <c r="D21" s="2" t="s">
        <v>22</v>
      </c>
      <c r="E21" s="2" t="s">
        <v>1168</v>
      </c>
      <c r="F21" s="2" t="s">
        <v>1168</v>
      </c>
      <c r="G21" s="2" t="s">
        <v>1167</v>
      </c>
      <c r="H21" s="2"/>
      <c r="I21" s="2"/>
      <c r="J21" s="2" t="s">
        <v>1166</v>
      </c>
      <c r="K21" s="2"/>
      <c r="L21" s="2"/>
      <c r="M21" s="3">
        <v>1004</v>
      </c>
    </row>
    <row r="22" spans="1:13" x14ac:dyDescent="0.35">
      <c r="A22" s="2" t="s">
        <v>58</v>
      </c>
      <c r="B22" s="2" t="s">
        <v>59</v>
      </c>
      <c r="C22" s="2" t="s">
        <v>1165</v>
      </c>
      <c r="D22" s="2" t="s">
        <v>22</v>
      </c>
      <c r="E22" s="2" t="s">
        <v>1164</v>
      </c>
      <c r="F22" s="2" t="s">
        <v>1164</v>
      </c>
      <c r="G22" s="2" t="s">
        <v>1163</v>
      </c>
      <c r="H22" s="2" t="s">
        <v>1162</v>
      </c>
      <c r="I22" s="2"/>
      <c r="J22" s="2" t="s">
        <v>1161</v>
      </c>
      <c r="K22" s="2"/>
      <c r="L22" s="2"/>
      <c r="M22" s="3">
        <v>2821</v>
      </c>
    </row>
    <row r="23" spans="1:13" x14ac:dyDescent="0.35">
      <c r="A23" s="2" t="s">
        <v>58</v>
      </c>
      <c r="B23" s="2" t="s">
        <v>59</v>
      </c>
      <c r="C23" s="2" t="s">
        <v>468</v>
      </c>
      <c r="D23" s="2" t="s">
        <v>61</v>
      </c>
      <c r="E23" s="2" t="s">
        <v>1160</v>
      </c>
      <c r="F23" s="2" t="s">
        <v>1160</v>
      </c>
      <c r="G23" s="2" t="s">
        <v>1159</v>
      </c>
      <c r="H23" s="2" t="s">
        <v>1158</v>
      </c>
      <c r="I23" s="2"/>
      <c r="J23" s="2" t="s">
        <v>1157</v>
      </c>
      <c r="K23" s="2"/>
      <c r="L23" s="2"/>
      <c r="M23" s="3">
        <v>5949</v>
      </c>
    </row>
    <row r="24" spans="1:13" x14ac:dyDescent="0.35">
      <c r="A24" s="2" t="s">
        <v>58</v>
      </c>
      <c r="B24" s="2" t="s">
        <v>59</v>
      </c>
      <c r="C24" s="2" t="s">
        <v>1156</v>
      </c>
      <c r="D24" s="2" t="s">
        <v>22</v>
      </c>
      <c r="E24" s="2" t="s">
        <v>1155</v>
      </c>
      <c r="F24" s="2" t="s">
        <v>1155</v>
      </c>
      <c r="G24" s="2" t="s">
        <v>1154</v>
      </c>
      <c r="H24" s="2" t="s">
        <v>1153</v>
      </c>
      <c r="I24" s="2"/>
      <c r="J24" s="2" t="s">
        <v>1152</v>
      </c>
      <c r="K24" s="2"/>
      <c r="L24" s="2"/>
      <c r="M24" s="3">
        <v>93</v>
      </c>
    </row>
    <row r="25" spans="1:13" x14ac:dyDescent="0.35">
      <c r="A25" s="2" t="s">
        <v>58</v>
      </c>
      <c r="B25" s="2" t="s">
        <v>59</v>
      </c>
      <c r="C25" s="2" t="s">
        <v>1151</v>
      </c>
      <c r="D25" s="2" t="s">
        <v>22</v>
      </c>
      <c r="E25" s="2" t="s">
        <v>1150</v>
      </c>
      <c r="F25" s="2" t="s">
        <v>1150</v>
      </c>
      <c r="G25" s="2" t="s">
        <v>1149</v>
      </c>
      <c r="H25" s="2" t="s">
        <v>1148</v>
      </c>
      <c r="I25" s="2"/>
      <c r="J25" s="2" t="s">
        <v>1147</v>
      </c>
      <c r="K25" s="2"/>
      <c r="L25" s="2"/>
      <c r="M25" s="3">
        <v>126</v>
      </c>
    </row>
    <row r="26" spans="1:13" x14ac:dyDescent="0.35">
      <c r="A26" s="2" t="s">
        <v>58</v>
      </c>
      <c r="B26" s="2" t="s">
        <v>59</v>
      </c>
      <c r="C26" s="2" t="s">
        <v>1146</v>
      </c>
      <c r="D26" s="2" t="s">
        <v>22</v>
      </c>
      <c r="E26" s="2" t="s">
        <v>1145</v>
      </c>
      <c r="F26" s="2" t="s">
        <v>1145</v>
      </c>
      <c r="G26" s="2" t="s">
        <v>1144</v>
      </c>
      <c r="H26" s="2" t="s">
        <v>1143</v>
      </c>
      <c r="I26" s="2"/>
      <c r="J26" s="2" t="s">
        <v>1142</v>
      </c>
      <c r="K26" s="2"/>
      <c r="L26" s="2"/>
      <c r="M26" s="3">
        <v>535</v>
      </c>
    </row>
    <row r="27" spans="1:13" x14ac:dyDescent="0.35">
      <c r="A27" s="2" t="s">
        <v>58</v>
      </c>
      <c r="B27" s="2" t="s">
        <v>59</v>
      </c>
      <c r="C27" s="2" t="s">
        <v>104</v>
      </c>
      <c r="D27" s="2" t="s">
        <v>61</v>
      </c>
      <c r="E27" s="2" t="s">
        <v>1141</v>
      </c>
      <c r="F27" s="2" t="s">
        <v>1141</v>
      </c>
      <c r="G27" s="2" t="s">
        <v>1140</v>
      </c>
      <c r="H27" s="2" t="s">
        <v>1139</v>
      </c>
      <c r="I27" s="2"/>
      <c r="J27" s="2" t="s">
        <v>1138</v>
      </c>
      <c r="K27" s="2"/>
      <c r="L27" s="2"/>
      <c r="M27" s="3">
        <v>267</v>
      </c>
    </row>
    <row r="28" spans="1:13" x14ac:dyDescent="0.35">
      <c r="A28" s="2" t="s">
        <v>58</v>
      </c>
      <c r="B28" s="2" t="s">
        <v>59</v>
      </c>
      <c r="C28" s="2" t="s">
        <v>1137</v>
      </c>
      <c r="D28" s="2" t="s">
        <v>22</v>
      </c>
      <c r="E28" s="2" t="s">
        <v>1136</v>
      </c>
      <c r="F28" s="2" t="s">
        <v>1136</v>
      </c>
      <c r="G28" s="2" t="s">
        <v>1135</v>
      </c>
      <c r="H28" s="2" t="s">
        <v>1134</v>
      </c>
      <c r="I28" s="2"/>
      <c r="J28" s="2" t="s">
        <v>1133</v>
      </c>
      <c r="K28" s="2"/>
      <c r="L28" s="2"/>
      <c r="M28" s="3">
        <v>2</v>
      </c>
    </row>
    <row r="29" spans="1:13" x14ac:dyDescent="0.35">
      <c r="A29" s="2" t="s">
        <v>58</v>
      </c>
      <c r="B29" s="2" t="s">
        <v>59</v>
      </c>
      <c r="C29" s="2" t="s">
        <v>1132</v>
      </c>
      <c r="D29" s="2" t="s">
        <v>22</v>
      </c>
      <c r="E29" s="2" t="s">
        <v>1131</v>
      </c>
      <c r="F29" s="2" t="s">
        <v>1131</v>
      </c>
      <c r="G29" s="2" t="s">
        <v>1130</v>
      </c>
      <c r="H29" s="2" t="s">
        <v>1129</v>
      </c>
      <c r="I29" s="2"/>
      <c r="J29" s="2" t="s">
        <v>386</v>
      </c>
      <c r="K29" s="2"/>
      <c r="L29" s="2"/>
      <c r="M29" s="3">
        <v>10</v>
      </c>
    </row>
    <row r="30" spans="1:13" x14ac:dyDescent="0.35">
      <c r="A30" s="2" t="s">
        <v>58</v>
      </c>
      <c r="B30" s="2" t="s">
        <v>59</v>
      </c>
      <c r="C30" s="2" t="s">
        <v>340</v>
      </c>
      <c r="D30" s="2" t="s">
        <v>61</v>
      </c>
      <c r="E30" s="2" t="s">
        <v>1128</v>
      </c>
      <c r="F30" s="2" t="s">
        <v>1128</v>
      </c>
      <c r="G30" s="2" t="s">
        <v>1127</v>
      </c>
      <c r="H30" s="2" t="s">
        <v>1126</v>
      </c>
      <c r="I30" s="2"/>
      <c r="J30" s="2" t="s">
        <v>1125</v>
      </c>
      <c r="K30" s="2"/>
      <c r="L30" s="2"/>
      <c r="M30" s="3">
        <v>519</v>
      </c>
    </row>
    <row r="31" spans="1:13" x14ac:dyDescent="0.35">
      <c r="A31" s="2" t="s">
        <v>58</v>
      </c>
      <c r="B31" s="2" t="s">
        <v>59</v>
      </c>
      <c r="C31" s="2" t="s">
        <v>1124</v>
      </c>
      <c r="D31" s="2" t="s">
        <v>22</v>
      </c>
      <c r="E31" s="2" t="s">
        <v>1123</v>
      </c>
      <c r="F31" s="2" t="s">
        <v>1123</v>
      </c>
      <c r="G31" s="2" t="s">
        <v>1122</v>
      </c>
      <c r="H31" s="2" t="s">
        <v>1121</v>
      </c>
      <c r="I31" s="2"/>
      <c r="J31" s="2" t="s">
        <v>410</v>
      </c>
      <c r="K31" s="2"/>
      <c r="L31" s="2"/>
      <c r="M31" s="3">
        <v>7</v>
      </c>
    </row>
    <row r="32" spans="1:13" x14ac:dyDescent="0.35">
      <c r="A32" s="2" t="s">
        <v>58</v>
      </c>
      <c r="B32" s="2" t="s">
        <v>59</v>
      </c>
      <c r="C32" s="2" t="s">
        <v>380</v>
      </c>
      <c r="D32" s="2" t="s">
        <v>61</v>
      </c>
      <c r="E32" s="2" t="s">
        <v>233</v>
      </c>
      <c r="F32" s="2" t="s">
        <v>233</v>
      </c>
      <c r="G32" s="2" t="s">
        <v>1120</v>
      </c>
      <c r="H32" s="2" t="s">
        <v>1119</v>
      </c>
      <c r="I32" s="2"/>
      <c r="J32" s="2" t="s">
        <v>1118</v>
      </c>
      <c r="K32" s="2"/>
      <c r="L32" s="2"/>
      <c r="M32" s="3">
        <v>2031</v>
      </c>
    </row>
    <row r="33" spans="1:13" x14ac:dyDescent="0.35">
      <c r="A33" s="2" t="s">
        <v>58</v>
      </c>
      <c r="B33" s="2" t="s">
        <v>59</v>
      </c>
      <c r="C33" s="2" t="s">
        <v>278</v>
      </c>
      <c r="D33" s="2" t="s">
        <v>22</v>
      </c>
      <c r="E33" s="2" t="s">
        <v>1117</v>
      </c>
      <c r="F33" s="2" t="s">
        <v>1117</v>
      </c>
      <c r="G33" s="2" t="s">
        <v>1116</v>
      </c>
      <c r="H33" s="2" t="s">
        <v>1115</v>
      </c>
      <c r="I33" s="2"/>
      <c r="J33" s="2" t="s">
        <v>282</v>
      </c>
      <c r="K33" s="2"/>
      <c r="L33" s="2"/>
      <c r="M33" s="3">
        <v>300</v>
      </c>
    </row>
    <row r="34" spans="1:13" x14ac:dyDescent="0.35">
      <c r="A34" s="2" t="s">
        <v>58</v>
      </c>
      <c r="B34" s="2" t="s">
        <v>59</v>
      </c>
      <c r="C34" s="2" t="s">
        <v>1114</v>
      </c>
      <c r="D34" s="2" t="s">
        <v>22</v>
      </c>
      <c r="E34" s="2" t="s">
        <v>284</v>
      </c>
      <c r="F34" s="2" t="s">
        <v>284</v>
      </c>
      <c r="G34" s="2" t="s">
        <v>1113</v>
      </c>
      <c r="H34" s="2" t="s">
        <v>1112</v>
      </c>
      <c r="I34" s="2"/>
      <c r="J34" s="2" t="s">
        <v>1111</v>
      </c>
      <c r="K34" s="2"/>
      <c r="L34" s="2"/>
      <c r="M34" s="3">
        <v>344</v>
      </c>
    </row>
    <row r="35" spans="1:13" x14ac:dyDescent="0.35">
      <c r="A35" s="2" t="s">
        <v>1106</v>
      </c>
      <c r="B35" s="2" t="s">
        <v>59</v>
      </c>
      <c r="C35" s="2" t="s">
        <v>1110</v>
      </c>
      <c r="D35" s="2" t="s">
        <v>22</v>
      </c>
      <c r="E35" s="2" t="s">
        <v>310</v>
      </c>
      <c r="F35" s="2" t="s">
        <v>310</v>
      </c>
      <c r="G35" s="2"/>
      <c r="H35" s="2"/>
      <c r="I35" s="2"/>
      <c r="J35" s="2" t="s">
        <v>1109</v>
      </c>
      <c r="K35" s="2"/>
      <c r="L35" s="2"/>
      <c r="M35" s="3">
        <v>9</v>
      </c>
    </row>
    <row r="36" spans="1:13" x14ac:dyDescent="0.35">
      <c r="A36" s="2" t="s">
        <v>1106</v>
      </c>
      <c r="B36" s="2" t="s">
        <v>59</v>
      </c>
      <c r="C36" s="2" t="s">
        <v>1108</v>
      </c>
      <c r="D36" s="2" t="s">
        <v>22</v>
      </c>
      <c r="E36" s="2" t="s">
        <v>28</v>
      </c>
      <c r="F36" s="2" t="s">
        <v>28</v>
      </c>
      <c r="G36" s="2"/>
      <c r="H36" s="2"/>
      <c r="I36" s="2"/>
      <c r="J36" s="2" t="s">
        <v>1107</v>
      </c>
      <c r="K36" s="2"/>
      <c r="L36" s="2"/>
      <c r="M36" s="3">
        <v>850</v>
      </c>
    </row>
    <row r="37" spans="1:13" x14ac:dyDescent="0.35">
      <c r="A37" s="2" t="s">
        <v>1106</v>
      </c>
      <c r="B37" s="2" t="s">
        <v>59</v>
      </c>
      <c r="C37" s="2" t="s">
        <v>1105</v>
      </c>
      <c r="D37" s="2" t="s">
        <v>22</v>
      </c>
      <c r="E37" s="2" t="s">
        <v>307</v>
      </c>
      <c r="F37" s="2" t="s">
        <v>307</v>
      </c>
      <c r="G37" s="2" t="s">
        <v>1104</v>
      </c>
      <c r="H37" s="2"/>
      <c r="I37" s="2"/>
      <c r="J37" s="2" t="s">
        <v>1103</v>
      </c>
      <c r="K37" s="2"/>
      <c r="L37" s="2"/>
      <c r="M37" s="3">
        <v>2555</v>
      </c>
    </row>
    <row r="38" spans="1:13" x14ac:dyDescent="0.35">
      <c r="A38" s="2"/>
      <c r="B38" s="2"/>
      <c r="C38" s="2" t="s">
        <v>1102</v>
      </c>
      <c r="D38" s="2" t="s">
        <v>22</v>
      </c>
      <c r="E38" s="2"/>
      <c r="F38" s="2"/>
      <c r="G38" s="2"/>
      <c r="H38" s="2"/>
      <c r="I38" s="2"/>
      <c r="J38" s="2"/>
      <c r="K38" s="2"/>
      <c r="L38" s="2"/>
      <c r="M38" s="3">
        <v>1</v>
      </c>
    </row>
    <row r="39" spans="1:13" x14ac:dyDescent="0.35">
      <c r="A39" s="2"/>
      <c r="B39" s="2"/>
      <c r="C39" s="2" t="s">
        <v>1101</v>
      </c>
      <c r="D39" s="2" t="s">
        <v>22</v>
      </c>
      <c r="E39" s="2"/>
      <c r="F39" s="2"/>
      <c r="G39" s="2"/>
      <c r="H39" s="2"/>
      <c r="I39" s="2"/>
      <c r="J39" s="2"/>
      <c r="K39" s="2"/>
      <c r="L39" s="2"/>
      <c r="M39" s="3">
        <v>1</v>
      </c>
    </row>
    <row r="40" spans="1:13" x14ac:dyDescent="0.35">
      <c r="A40" s="2"/>
      <c r="B40" s="2"/>
      <c r="C40" s="2" t="s">
        <v>1100</v>
      </c>
      <c r="D40" s="2" t="s">
        <v>22</v>
      </c>
      <c r="E40" s="2"/>
      <c r="F40" s="2"/>
      <c r="G40" s="2"/>
      <c r="H40" s="2"/>
      <c r="I40" s="2"/>
      <c r="J40" s="2"/>
      <c r="K40" s="2"/>
      <c r="L40" s="2"/>
      <c r="M40" s="3">
        <v>15</v>
      </c>
    </row>
    <row r="41" spans="1:13" x14ac:dyDescent="0.35">
      <c r="A41" s="2"/>
      <c r="B41" s="2"/>
      <c r="C41" s="2" t="s">
        <v>1099</v>
      </c>
      <c r="D41" s="2" t="s">
        <v>22</v>
      </c>
      <c r="E41" s="2"/>
      <c r="F41" s="2"/>
      <c r="G41" s="2"/>
      <c r="H41" s="2"/>
      <c r="I41" s="2"/>
      <c r="J41" s="2"/>
      <c r="K41" s="2"/>
      <c r="L41" s="2"/>
      <c r="M41" s="3">
        <v>26</v>
      </c>
    </row>
    <row r="42" spans="1:13" x14ac:dyDescent="0.35">
      <c r="A42" s="2"/>
      <c r="B42" s="2"/>
      <c r="C42" s="2" t="s">
        <v>1098</v>
      </c>
      <c r="D42" s="2" t="s">
        <v>22</v>
      </c>
      <c r="E42" s="2"/>
      <c r="F42" s="2"/>
      <c r="G42" s="2"/>
      <c r="H42" s="2"/>
      <c r="I42" s="2"/>
      <c r="J42" s="2"/>
      <c r="K42" s="2"/>
      <c r="L42" s="2"/>
      <c r="M42" s="3">
        <v>42</v>
      </c>
    </row>
    <row r="43" spans="1:13" x14ac:dyDescent="0.35">
      <c r="A43" s="2"/>
      <c r="B43" s="2"/>
      <c r="C43" s="2" t="s">
        <v>1097</v>
      </c>
      <c r="D43" s="2" t="s">
        <v>22</v>
      </c>
      <c r="E43" s="2"/>
      <c r="F43" s="2"/>
      <c r="G43" s="2"/>
      <c r="H43" s="2"/>
      <c r="I43" s="2"/>
      <c r="J43" s="2"/>
      <c r="K43" s="2"/>
      <c r="L43" s="2"/>
      <c r="M43" s="3">
        <v>17</v>
      </c>
    </row>
  </sheetData>
  <mergeCells count="6">
    <mergeCell ref="A6:M6"/>
    <mergeCell ref="A1:M1"/>
    <mergeCell ref="A2:M2"/>
    <mergeCell ref="A3:M3"/>
    <mergeCell ref="A4:M4"/>
    <mergeCell ref="A5:M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0E5EE-6C66-4C68-8C14-DD92B78D10B7}">
  <dimension ref="A1:M38"/>
  <sheetViews>
    <sheetView workbookViewId="0">
      <selection activeCell="C15" sqref="C15"/>
    </sheetView>
  </sheetViews>
  <sheetFormatPr defaultRowHeight="14.5" x14ac:dyDescent="0.35"/>
  <cols>
    <col min="1" max="1" width="27.7265625" customWidth="1"/>
    <col min="2" max="2" width="9.7265625" customWidth="1"/>
    <col min="3" max="3" width="34.7265625" customWidth="1"/>
    <col min="4" max="4" width="16.7265625" customWidth="1"/>
    <col min="5" max="9" width="50.7265625" customWidth="1"/>
    <col min="10" max="10" width="6.7265625" customWidth="1"/>
    <col min="11" max="11" width="16.7265625" customWidth="1"/>
    <col min="12" max="12" width="25.7265625" customWidth="1"/>
    <col min="13" max="13" width="20.7265625" customWidth="1"/>
  </cols>
  <sheetData>
    <row r="1" spans="1:13" ht="22.5" x14ac:dyDescent="0.35">
      <c r="A1" s="32" t="s">
        <v>0</v>
      </c>
      <c r="B1" s="32"/>
      <c r="C1" s="32"/>
      <c r="D1" s="32"/>
      <c r="E1" s="32"/>
      <c r="F1" s="32"/>
      <c r="G1" s="32"/>
      <c r="H1" s="32"/>
      <c r="I1" s="32"/>
      <c r="J1" s="32"/>
      <c r="K1" s="32"/>
      <c r="L1" s="32"/>
      <c r="M1" s="32"/>
    </row>
    <row r="2" spans="1:13" ht="15.5" x14ac:dyDescent="0.35">
      <c r="A2" s="33" t="s">
        <v>1361</v>
      </c>
      <c r="B2" s="33"/>
      <c r="C2" s="33"/>
      <c r="D2" s="33"/>
      <c r="E2" s="33"/>
      <c r="F2" s="33"/>
      <c r="G2" s="33"/>
      <c r="H2" s="33"/>
      <c r="I2" s="33"/>
      <c r="J2" s="33"/>
      <c r="K2" s="33"/>
      <c r="L2" s="33"/>
      <c r="M2" s="33"/>
    </row>
    <row r="3" spans="1:13" x14ac:dyDescent="0.35">
      <c r="A3" s="31" t="s">
        <v>2</v>
      </c>
      <c r="B3" s="31"/>
      <c r="C3" s="31"/>
      <c r="D3" s="31"/>
      <c r="E3" s="31"/>
      <c r="F3" s="31"/>
      <c r="G3" s="31"/>
      <c r="H3" s="31"/>
      <c r="I3" s="31"/>
      <c r="J3" s="31"/>
      <c r="K3" s="31"/>
      <c r="L3" s="31"/>
      <c r="M3" s="31"/>
    </row>
    <row r="4" spans="1:13" x14ac:dyDescent="0.35">
      <c r="A4" s="31" t="s">
        <v>1360</v>
      </c>
      <c r="B4" s="31"/>
      <c r="C4" s="31"/>
      <c r="D4" s="31"/>
      <c r="E4" s="31"/>
      <c r="F4" s="31"/>
      <c r="G4" s="31"/>
      <c r="H4" s="31"/>
      <c r="I4" s="31"/>
      <c r="J4" s="31"/>
      <c r="K4" s="31"/>
      <c r="L4" s="31"/>
      <c r="M4" s="31"/>
    </row>
    <row r="5" spans="1:13" x14ac:dyDescent="0.35">
      <c r="A5" s="31" t="s">
        <v>4</v>
      </c>
      <c r="B5" s="31"/>
      <c r="C5" s="31"/>
      <c r="D5" s="31"/>
      <c r="E5" s="31"/>
      <c r="F5" s="31"/>
      <c r="G5" s="31"/>
      <c r="H5" s="31"/>
      <c r="I5" s="31"/>
      <c r="J5" s="31"/>
      <c r="K5" s="31"/>
      <c r="L5" s="31"/>
      <c r="M5" s="31"/>
    </row>
    <row r="6" spans="1:13" x14ac:dyDescent="0.35">
      <c r="A6" s="31" t="s">
        <v>5</v>
      </c>
      <c r="B6" s="31"/>
      <c r="C6" s="31"/>
      <c r="D6" s="31"/>
      <c r="E6" s="31"/>
      <c r="F6" s="31"/>
      <c r="G6" s="31"/>
      <c r="H6" s="31"/>
      <c r="I6" s="31"/>
      <c r="J6" s="31"/>
      <c r="K6" s="31"/>
      <c r="L6" s="31"/>
      <c r="M6" s="31"/>
    </row>
    <row r="7" spans="1:13" x14ac:dyDescent="0.35">
      <c r="A7" s="1" t="s">
        <v>6</v>
      </c>
      <c r="B7" s="1" t="s">
        <v>7</v>
      </c>
      <c r="C7" s="1" t="s">
        <v>8</v>
      </c>
      <c r="D7" s="1" t="s">
        <v>9</v>
      </c>
      <c r="E7" s="1" t="s">
        <v>10</v>
      </c>
      <c r="F7" s="1" t="s">
        <v>11</v>
      </c>
      <c r="G7" s="1" t="s">
        <v>12</v>
      </c>
      <c r="H7" s="1" t="s">
        <v>13</v>
      </c>
      <c r="I7" s="1" t="s">
        <v>14</v>
      </c>
      <c r="J7" s="1" t="s">
        <v>15</v>
      </c>
      <c r="K7" s="1" t="s">
        <v>16</v>
      </c>
      <c r="L7" s="1" t="s">
        <v>17</v>
      </c>
      <c r="M7" s="1" t="s">
        <v>18</v>
      </c>
    </row>
    <row r="8" spans="1:13" x14ac:dyDescent="0.35">
      <c r="A8" s="2" t="s">
        <v>799</v>
      </c>
      <c r="B8" s="2" t="s">
        <v>59</v>
      </c>
      <c r="C8" s="2" t="s">
        <v>1359</v>
      </c>
      <c r="D8" s="2" t="s">
        <v>22</v>
      </c>
      <c r="E8" s="2" t="s">
        <v>1358</v>
      </c>
      <c r="F8" s="2" t="s">
        <v>1357</v>
      </c>
      <c r="G8" s="2" t="s">
        <v>1356</v>
      </c>
      <c r="H8" s="2" t="s">
        <v>1355</v>
      </c>
      <c r="I8" s="2" t="s">
        <v>829</v>
      </c>
      <c r="J8" s="2"/>
      <c r="K8" s="2"/>
      <c r="L8" s="2"/>
      <c r="M8" s="3">
        <v>1</v>
      </c>
    </row>
    <row r="9" spans="1:13" x14ac:dyDescent="0.35">
      <c r="A9" s="2" t="s">
        <v>799</v>
      </c>
      <c r="B9" s="2" t="s">
        <v>59</v>
      </c>
      <c r="C9" s="2" t="s">
        <v>1354</v>
      </c>
      <c r="D9" s="2" t="s">
        <v>22</v>
      </c>
      <c r="E9" s="2" t="s">
        <v>1347</v>
      </c>
      <c r="F9" s="2" t="s">
        <v>1346</v>
      </c>
      <c r="G9" s="2" t="s">
        <v>1345</v>
      </c>
      <c r="H9" s="2" t="s">
        <v>1344</v>
      </c>
      <c r="I9" s="2" t="s">
        <v>842</v>
      </c>
      <c r="J9" s="2"/>
      <c r="K9" s="2"/>
      <c r="L9" s="2"/>
      <c r="M9" s="3">
        <v>1</v>
      </c>
    </row>
    <row r="10" spans="1:13" x14ac:dyDescent="0.35">
      <c r="A10" s="2" t="s">
        <v>799</v>
      </c>
      <c r="B10" s="2" t="s">
        <v>59</v>
      </c>
      <c r="C10" s="2" t="s">
        <v>1353</v>
      </c>
      <c r="D10" s="2" t="s">
        <v>22</v>
      </c>
      <c r="E10" s="2" t="s">
        <v>1352</v>
      </c>
      <c r="F10" s="2" t="s">
        <v>1351</v>
      </c>
      <c r="G10" s="2" t="s">
        <v>1350</v>
      </c>
      <c r="H10" s="2" t="s">
        <v>1349</v>
      </c>
      <c r="I10" s="2" t="s">
        <v>848</v>
      </c>
      <c r="J10" s="2"/>
      <c r="K10" s="2"/>
      <c r="L10" s="2"/>
      <c r="M10" s="3">
        <v>1</v>
      </c>
    </row>
    <row r="11" spans="1:13" x14ac:dyDescent="0.35">
      <c r="A11" s="2" t="s">
        <v>799</v>
      </c>
      <c r="B11" s="2" t="s">
        <v>59</v>
      </c>
      <c r="C11" s="2" t="s">
        <v>1348</v>
      </c>
      <c r="D11" s="2" t="s">
        <v>22</v>
      </c>
      <c r="E11" s="2" t="s">
        <v>1347</v>
      </c>
      <c r="F11" s="2" t="s">
        <v>1346</v>
      </c>
      <c r="G11" s="2" t="s">
        <v>1345</v>
      </c>
      <c r="H11" s="2" t="s">
        <v>1344</v>
      </c>
      <c r="I11" s="2" t="s">
        <v>842</v>
      </c>
      <c r="J11" s="2"/>
      <c r="K11" s="2"/>
      <c r="L11" s="2"/>
      <c r="M11" s="3">
        <v>2</v>
      </c>
    </row>
    <row r="12" spans="1:13" x14ac:dyDescent="0.35">
      <c r="A12" s="2" t="s">
        <v>799</v>
      </c>
      <c r="B12" s="2" t="s">
        <v>59</v>
      </c>
      <c r="C12" s="2" t="s">
        <v>1343</v>
      </c>
      <c r="D12" s="2" t="s">
        <v>22</v>
      </c>
      <c r="E12" s="2" t="s">
        <v>1342</v>
      </c>
      <c r="F12" s="2" t="s">
        <v>1341</v>
      </c>
      <c r="G12" s="2" t="s">
        <v>1340</v>
      </c>
      <c r="H12" s="2" t="s">
        <v>1339</v>
      </c>
      <c r="I12" s="2" t="s">
        <v>1338</v>
      </c>
      <c r="J12" s="2"/>
      <c r="K12" s="2"/>
      <c r="L12" s="2"/>
      <c r="M12" s="3">
        <v>3</v>
      </c>
    </row>
    <row r="13" spans="1:13" x14ac:dyDescent="0.35">
      <c r="A13" s="2" t="s">
        <v>799</v>
      </c>
      <c r="B13" s="2" t="s">
        <v>59</v>
      </c>
      <c r="C13" s="2" t="s">
        <v>1337</v>
      </c>
      <c r="D13" s="2" t="s">
        <v>22</v>
      </c>
      <c r="E13" s="2" t="s">
        <v>1336</v>
      </c>
      <c r="F13" s="2" t="s">
        <v>1335</v>
      </c>
      <c r="G13" s="2" t="s">
        <v>1334</v>
      </c>
      <c r="H13" s="2" t="s">
        <v>1333</v>
      </c>
      <c r="I13" s="2" t="s">
        <v>836</v>
      </c>
      <c r="J13" s="2"/>
      <c r="K13" s="2"/>
      <c r="L13" s="2"/>
      <c r="M13" s="3">
        <v>3</v>
      </c>
    </row>
    <row r="14" spans="1:13" x14ac:dyDescent="0.35">
      <c r="A14" s="2" t="s">
        <v>799</v>
      </c>
      <c r="B14" s="2" t="s">
        <v>59</v>
      </c>
      <c r="C14" s="2" t="s">
        <v>1332</v>
      </c>
      <c r="D14" s="2" t="s">
        <v>22</v>
      </c>
      <c r="E14" s="2" t="s">
        <v>1331</v>
      </c>
      <c r="F14" s="2" t="s">
        <v>1330</v>
      </c>
      <c r="G14" s="2" t="s">
        <v>1329</v>
      </c>
      <c r="H14" s="2" t="s">
        <v>1328</v>
      </c>
      <c r="I14" s="2" t="s">
        <v>1327</v>
      </c>
      <c r="J14" s="2"/>
      <c r="K14" s="2"/>
      <c r="L14" s="2"/>
      <c r="M14" s="3">
        <v>18</v>
      </c>
    </row>
    <row r="15" spans="1:13" x14ac:dyDescent="0.35">
      <c r="A15" s="2" t="s">
        <v>799</v>
      </c>
      <c r="B15" s="2" t="s">
        <v>59</v>
      </c>
      <c r="C15" s="2" t="s">
        <v>1326</v>
      </c>
      <c r="D15" s="2" t="s">
        <v>22</v>
      </c>
      <c r="E15" s="2" t="s">
        <v>1325</v>
      </c>
      <c r="F15" s="2"/>
      <c r="G15" s="2" t="s">
        <v>1324</v>
      </c>
      <c r="H15" s="2" t="s">
        <v>1323</v>
      </c>
      <c r="I15" s="2" t="s">
        <v>794</v>
      </c>
      <c r="J15" s="2"/>
      <c r="K15" s="2"/>
      <c r="L15" s="2"/>
      <c r="M15" s="3">
        <v>18</v>
      </c>
    </row>
    <row r="16" spans="1:13" x14ac:dyDescent="0.35">
      <c r="A16" s="2" t="s">
        <v>799</v>
      </c>
      <c r="B16" s="2" t="s">
        <v>59</v>
      </c>
      <c r="C16" s="2" t="s">
        <v>1322</v>
      </c>
      <c r="D16" s="2" t="s">
        <v>22</v>
      </c>
      <c r="E16" s="2" t="s">
        <v>1321</v>
      </c>
      <c r="F16" s="2" t="s">
        <v>1320</v>
      </c>
      <c r="G16" s="2" t="s">
        <v>1319</v>
      </c>
      <c r="H16" s="2" t="s">
        <v>1318</v>
      </c>
      <c r="I16" s="2" t="s">
        <v>1317</v>
      </c>
      <c r="J16" s="2"/>
      <c r="K16" s="2"/>
      <c r="L16" s="2"/>
      <c r="M16" s="3">
        <v>32</v>
      </c>
    </row>
    <row r="17" spans="1:13" x14ac:dyDescent="0.35">
      <c r="A17" s="2" t="s">
        <v>799</v>
      </c>
      <c r="B17" s="2" t="s">
        <v>59</v>
      </c>
      <c r="C17" s="2" t="s">
        <v>1316</v>
      </c>
      <c r="D17" s="2" t="s">
        <v>22</v>
      </c>
      <c r="E17" s="2" t="s">
        <v>1315</v>
      </c>
      <c r="F17" s="2" t="s">
        <v>1314</v>
      </c>
      <c r="G17" s="2" t="s">
        <v>1313</v>
      </c>
      <c r="H17" s="2" t="s">
        <v>1312</v>
      </c>
      <c r="I17" s="2" t="s">
        <v>800</v>
      </c>
      <c r="J17" s="2"/>
      <c r="K17" s="2"/>
      <c r="L17" s="2"/>
      <c r="M17" s="3">
        <v>1</v>
      </c>
    </row>
    <row r="18" spans="1:13" x14ac:dyDescent="0.35">
      <c r="A18" s="2" t="s">
        <v>799</v>
      </c>
      <c r="B18" s="2" t="s">
        <v>59</v>
      </c>
      <c r="C18" s="2" t="s">
        <v>1311</v>
      </c>
      <c r="D18" s="2" t="s">
        <v>22</v>
      </c>
      <c r="E18" s="2" t="s">
        <v>1287</v>
      </c>
      <c r="F18" s="2" t="s">
        <v>1286</v>
      </c>
      <c r="G18" s="2" t="s">
        <v>1285</v>
      </c>
      <c r="H18" s="2" t="s">
        <v>1284</v>
      </c>
      <c r="I18" s="2" t="s">
        <v>823</v>
      </c>
      <c r="J18" s="2"/>
      <c r="K18" s="2"/>
      <c r="L18" s="2"/>
      <c r="M18" s="3">
        <v>1</v>
      </c>
    </row>
    <row r="19" spans="1:13" x14ac:dyDescent="0.35">
      <c r="A19" s="2" t="s">
        <v>799</v>
      </c>
      <c r="B19" s="2" t="s">
        <v>59</v>
      </c>
      <c r="C19" s="2" t="s">
        <v>1310</v>
      </c>
      <c r="D19" s="2" t="s">
        <v>22</v>
      </c>
      <c r="E19" s="2" t="s">
        <v>1309</v>
      </c>
      <c r="F19" s="2" t="s">
        <v>1308</v>
      </c>
      <c r="G19" s="2" t="s">
        <v>1307</v>
      </c>
      <c r="H19" s="2" t="s">
        <v>1306</v>
      </c>
      <c r="I19" s="2" t="s">
        <v>1305</v>
      </c>
      <c r="J19" s="2"/>
      <c r="K19" s="2"/>
      <c r="L19" s="2"/>
      <c r="M19" s="3">
        <v>39</v>
      </c>
    </row>
    <row r="20" spans="1:13" x14ac:dyDescent="0.35">
      <c r="A20" s="2" t="s">
        <v>799</v>
      </c>
      <c r="B20" s="2" t="s">
        <v>59</v>
      </c>
      <c r="C20" s="2" t="s">
        <v>1304</v>
      </c>
      <c r="D20" s="2" t="s">
        <v>22</v>
      </c>
      <c r="E20" s="2" t="s">
        <v>1303</v>
      </c>
      <c r="F20" s="2" t="s">
        <v>1302</v>
      </c>
      <c r="G20" s="2" t="s">
        <v>1301</v>
      </c>
      <c r="H20" s="2" t="s">
        <v>1300</v>
      </c>
      <c r="I20" s="2" t="s">
        <v>806</v>
      </c>
      <c r="J20" s="2"/>
      <c r="K20" s="2"/>
      <c r="L20" s="2"/>
      <c r="M20" s="3">
        <v>2</v>
      </c>
    </row>
    <row r="21" spans="1:13" x14ac:dyDescent="0.35">
      <c r="A21" s="2" t="s">
        <v>799</v>
      </c>
      <c r="B21" s="2" t="s">
        <v>59</v>
      </c>
      <c r="C21" s="2" t="s">
        <v>1299</v>
      </c>
      <c r="D21" s="2" t="s">
        <v>22</v>
      </c>
      <c r="E21" s="2" t="s">
        <v>1298</v>
      </c>
      <c r="F21" s="2" t="s">
        <v>1297</v>
      </c>
      <c r="G21" s="2" t="s">
        <v>1296</v>
      </c>
      <c r="H21" s="2" t="s">
        <v>1295</v>
      </c>
      <c r="I21" s="2" t="s">
        <v>860</v>
      </c>
      <c r="J21" s="2"/>
      <c r="K21" s="2"/>
      <c r="L21" s="2"/>
      <c r="M21" s="3">
        <v>12</v>
      </c>
    </row>
    <row r="22" spans="1:13" x14ac:dyDescent="0.35">
      <c r="A22" s="2" t="s">
        <v>799</v>
      </c>
      <c r="B22" s="2" t="s">
        <v>59</v>
      </c>
      <c r="C22" s="2" t="s">
        <v>1294</v>
      </c>
      <c r="D22" s="2" t="s">
        <v>22</v>
      </c>
      <c r="E22" s="2" t="s">
        <v>1293</v>
      </c>
      <c r="F22" s="2" t="s">
        <v>1292</v>
      </c>
      <c r="G22" s="2" t="s">
        <v>1291</v>
      </c>
      <c r="H22" s="2" t="s">
        <v>1290</v>
      </c>
      <c r="I22" s="2" t="s">
        <v>1289</v>
      </c>
      <c r="J22" s="2"/>
      <c r="K22" s="2"/>
      <c r="L22" s="2"/>
      <c r="M22" s="3">
        <v>2</v>
      </c>
    </row>
    <row r="23" spans="1:13" x14ac:dyDescent="0.35">
      <c r="A23" s="2" t="s">
        <v>799</v>
      </c>
      <c r="B23" s="2" t="s">
        <v>59</v>
      </c>
      <c r="C23" s="2" t="s">
        <v>1288</v>
      </c>
      <c r="D23" s="2" t="s">
        <v>22</v>
      </c>
      <c r="E23" s="2" t="s">
        <v>1287</v>
      </c>
      <c r="F23" s="2" t="s">
        <v>1286</v>
      </c>
      <c r="G23" s="2" t="s">
        <v>1285</v>
      </c>
      <c r="H23" s="2" t="s">
        <v>1284</v>
      </c>
      <c r="I23" s="2" t="s">
        <v>823</v>
      </c>
      <c r="J23" s="2"/>
      <c r="K23" s="2"/>
      <c r="L23" s="2"/>
      <c r="M23" s="3">
        <v>1</v>
      </c>
    </row>
    <row r="24" spans="1:13" x14ac:dyDescent="0.35">
      <c r="A24" s="2" t="s">
        <v>58</v>
      </c>
      <c r="B24" s="2" t="s">
        <v>59</v>
      </c>
      <c r="C24" s="2" t="s">
        <v>1283</v>
      </c>
      <c r="D24" s="2" t="s">
        <v>22</v>
      </c>
      <c r="E24" s="2" t="s">
        <v>606</v>
      </c>
      <c r="F24" s="2" t="s">
        <v>606</v>
      </c>
      <c r="G24" s="2" t="s">
        <v>1282</v>
      </c>
      <c r="H24" s="2" t="s">
        <v>1281</v>
      </c>
      <c r="I24" s="2" t="s">
        <v>1280</v>
      </c>
      <c r="J24" s="2"/>
      <c r="K24" s="2"/>
      <c r="L24" s="2"/>
      <c r="M24" s="3">
        <v>291</v>
      </c>
    </row>
    <row r="25" spans="1:13" x14ac:dyDescent="0.35">
      <c r="A25" s="2" t="s">
        <v>58</v>
      </c>
      <c r="B25" s="2" t="s">
        <v>59</v>
      </c>
      <c r="C25" s="2" t="s">
        <v>1279</v>
      </c>
      <c r="D25" s="2" t="s">
        <v>22</v>
      </c>
      <c r="E25" s="2" t="s">
        <v>1278</v>
      </c>
      <c r="F25" s="2" t="s">
        <v>1278</v>
      </c>
      <c r="G25" s="2" t="s">
        <v>1277</v>
      </c>
      <c r="H25" s="2" t="s">
        <v>1276</v>
      </c>
      <c r="I25" s="2" t="s">
        <v>1275</v>
      </c>
      <c r="J25" s="2"/>
      <c r="K25" s="2"/>
      <c r="L25" s="2"/>
      <c r="M25" s="3">
        <v>17</v>
      </c>
    </row>
    <row r="26" spans="1:13" x14ac:dyDescent="0.35">
      <c r="A26" s="2" t="s">
        <v>58</v>
      </c>
      <c r="B26" s="2" t="s">
        <v>59</v>
      </c>
      <c r="C26" s="2" t="s">
        <v>1274</v>
      </c>
      <c r="D26" s="2" t="s">
        <v>22</v>
      </c>
      <c r="E26" s="2" t="s">
        <v>1273</v>
      </c>
      <c r="F26" s="2" t="s">
        <v>1273</v>
      </c>
      <c r="G26" s="2" t="s">
        <v>1272</v>
      </c>
      <c r="H26" s="2" t="s">
        <v>1271</v>
      </c>
      <c r="I26" s="2" t="s">
        <v>1270</v>
      </c>
      <c r="J26" s="2"/>
      <c r="K26" s="2"/>
      <c r="L26" s="2"/>
      <c r="M26" s="3">
        <v>13</v>
      </c>
    </row>
    <row r="27" spans="1:13" x14ac:dyDescent="0.35">
      <c r="A27" s="2" t="s">
        <v>58</v>
      </c>
      <c r="B27" s="2" t="s">
        <v>59</v>
      </c>
      <c r="C27" s="2" t="s">
        <v>1269</v>
      </c>
      <c r="D27" s="2" t="s">
        <v>22</v>
      </c>
      <c r="E27" s="2" t="s">
        <v>541</v>
      </c>
      <c r="F27" s="2" t="s">
        <v>541</v>
      </c>
      <c r="G27" s="2" t="s">
        <v>1268</v>
      </c>
      <c r="H27" s="2" t="s">
        <v>1267</v>
      </c>
      <c r="I27" s="2" t="s">
        <v>1266</v>
      </c>
      <c r="J27" s="2"/>
      <c r="K27" s="2"/>
      <c r="L27" s="2"/>
      <c r="M27" s="3">
        <v>28</v>
      </c>
    </row>
    <row r="28" spans="1:13" x14ac:dyDescent="0.35">
      <c r="A28" s="2" t="s">
        <v>58</v>
      </c>
      <c r="B28" s="2" t="s">
        <v>59</v>
      </c>
      <c r="C28" s="2" t="s">
        <v>1265</v>
      </c>
      <c r="D28" s="2" t="s">
        <v>22</v>
      </c>
      <c r="E28" s="2" t="s">
        <v>682</v>
      </c>
      <c r="F28" s="2" t="s">
        <v>682</v>
      </c>
      <c r="G28" s="2" t="s">
        <v>1264</v>
      </c>
      <c r="H28" s="2" t="s">
        <v>1263</v>
      </c>
      <c r="I28" s="2"/>
      <c r="J28" s="2"/>
      <c r="K28" s="2"/>
      <c r="L28" s="2"/>
      <c r="M28" s="3">
        <v>103</v>
      </c>
    </row>
    <row r="29" spans="1:13" x14ac:dyDescent="0.35">
      <c r="A29" s="2" t="s">
        <v>58</v>
      </c>
      <c r="B29" s="2" t="s">
        <v>59</v>
      </c>
      <c r="C29" s="2" t="s">
        <v>1262</v>
      </c>
      <c r="D29" s="2" t="s">
        <v>22</v>
      </c>
      <c r="E29" s="2" t="s">
        <v>1261</v>
      </c>
      <c r="F29" s="2" t="s">
        <v>1261</v>
      </c>
      <c r="G29" s="2" t="s">
        <v>1260</v>
      </c>
      <c r="H29" s="2" t="s">
        <v>1259</v>
      </c>
      <c r="I29" s="2" t="s">
        <v>1258</v>
      </c>
      <c r="J29" s="2"/>
      <c r="K29" s="2"/>
      <c r="L29" s="2"/>
      <c r="M29" s="3">
        <v>55</v>
      </c>
    </row>
    <row r="30" spans="1:13" x14ac:dyDescent="0.35">
      <c r="A30" s="2" t="s">
        <v>58</v>
      </c>
      <c r="B30" s="2" t="s">
        <v>59</v>
      </c>
      <c r="C30" s="2" t="s">
        <v>1257</v>
      </c>
      <c r="D30" s="2" t="s">
        <v>22</v>
      </c>
      <c r="E30" s="2" t="s">
        <v>640</v>
      </c>
      <c r="F30" s="2" t="s">
        <v>640</v>
      </c>
      <c r="G30" s="2" t="s">
        <v>1256</v>
      </c>
      <c r="H30" s="2" t="s">
        <v>1255</v>
      </c>
      <c r="I30" s="2" t="s">
        <v>1254</v>
      </c>
      <c r="J30" s="2"/>
      <c r="K30" s="2"/>
      <c r="L30" s="2"/>
      <c r="M30" s="3">
        <v>43</v>
      </c>
    </row>
    <row r="31" spans="1:13" x14ac:dyDescent="0.35">
      <c r="A31" s="2" t="s">
        <v>58</v>
      </c>
      <c r="B31" s="2" t="s">
        <v>59</v>
      </c>
      <c r="C31" s="2" t="s">
        <v>1253</v>
      </c>
      <c r="D31" s="2" t="s">
        <v>22</v>
      </c>
      <c r="E31" s="2" t="s">
        <v>548</v>
      </c>
      <c r="F31" s="2" t="s">
        <v>548</v>
      </c>
      <c r="G31" s="2" t="s">
        <v>1252</v>
      </c>
      <c r="H31" s="2" t="s">
        <v>1251</v>
      </c>
      <c r="I31" s="2" t="s">
        <v>1250</v>
      </c>
      <c r="J31" s="2"/>
      <c r="K31" s="2"/>
      <c r="L31" s="2"/>
      <c r="M31" s="3">
        <v>31</v>
      </c>
    </row>
    <row r="32" spans="1:13" x14ac:dyDescent="0.35">
      <c r="A32" s="2" t="s">
        <v>58</v>
      </c>
      <c r="B32" s="2" t="s">
        <v>59</v>
      </c>
      <c r="C32" s="2" t="s">
        <v>1249</v>
      </c>
      <c r="D32" s="2" t="s">
        <v>22</v>
      </c>
      <c r="E32" s="2" t="s">
        <v>661</v>
      </c>
      <c r="F32" s="2" t="s">
        <v>661</v>
      </c>
      <c r="G32" s="2" t="s">
        <v>1248</v>
      </c>
      <c r="H32" s="2" t="s">
        <v>1247</v>
      </c>
      <c r="I32" s="2" t="s">
        <v>1246</v>
      </c>
      <c r="J32" s="2"/>
      <c r="K32" s="2"/>
      <c r="L32" s="2"/>
      <c r="M32" s="3">
        <v>4</v>
      </c>
    </row>
    <row r="33" spans="1:13" x14ac:dyDescent="0.35">
      <c r="A33" s="2" t="s">
        <v>58</v>
      </c>
      <c r="B33" s="2" t="s">
        <v>59</v>
      </c>
      <c r="C33" s="2" t="s">
        <v>1245</v>
      </c>
      <c r="D33" s="2" t="s">
        <v>22</v>
      </c>
      <c r="E33" s="2" t="s">
        <v>1244</v>
      </c>
      <c r="F33" s="2" t="s">
        <v>1244</v>
      </c>
      <c r="G33" s="2" t="s">
        <v>1243</v>
      </c>
      <c r="H33" s="2" t="s">
        <v>1242</v>
      </c>
      <c r="I33" s="2" t="s">
        <v>1241</v>
      </c>
      <c r="J33" s="2"/>
      <c r="K33" s="2"/>
      <c r="L33" s="2"/>
      <c r="M33" s="3">
        <v>92</v>
      </c>
    </row>
    <row r="34" spans="1:13" x14ac:dyDescent="0.35">
      <c r="A34" s="2" t="s">
        <v>58</v>
      </c>
      <c r="B34" s="2" t="s">
        <v>59</v>
      </c>
      <c r="C34" s="2" t="s">
        <v>1240</v>
      </c>
      <c r="D34" s="2" t="s">
        <v>22</v>
      </c>
      <c r="E34" s="2" t="s">
        <v>118</v>
      </c>
      <c r="F34" s="2" t="s">
        <v>118</v>
      </c>
      <c r="G34" s="2" t="s">
        <v>1239</v>
      </c>
      <c r="H34" s="2" t="s">
        <v>1238</v>
      </c>
      <c r="I34" s="2" t="s">
        <v>1237</v>
      </c>
      <c r="J34" s="2"/>
      <c r="K34" s="2"/>
      <c r="L34" s="2"/>
      <c r="M34" s="3">
        <v>255</v>
      </c>
    </row>
    <row r="35" spans="1:13" x14ac:dyDescent="0.35">
      <c r="A35" s="2" t="s">
        <v>58</v>
      </c>
      <c r="B35" s="2" t="s">
        <v>59</v>
      </c>
      <c r="C35" s="2" t="s">
        <v>1236</v>
      </c>
      <c r="D35" s="2" t="s">
        <v>22</v>
      </c>
      <c r="E35" s="2" t="s">
        <v>379</v>
      </c>
      <c r="F35" s="2" t="s">
        <v>379</v>
      </c>
      <c r="G35" s="2" t="s">
        <v>1235</v>
      </c>
      <c r="H35" s="2" t="s">
        <v>1234</v>
      </c>
      <c r="I35" s="2" t="s">
        <v>1233</v>
      </c>
      <c r="J35" s="2"/>
      <c r="K35" s="2"/>
      <c r="L35" s="2"/>
      <c r="M35" s="3">
        <v>264</v>
      </c>
    </row>
    <row r="36" spans="1:13" x14ac:dyDescent="0.35">
      <c r="A36" s="2" t="s">
        <v>58</v>
      </c>
      <c r="B36" s="2" t="s">
        <v>59</v>
      </c>
      <c r="C36" s="2" t="s">
        <v>1232</v>
      </c>
      <c r="D36" s="2" t="s">
        <v>22</v>
      </c>
      <c r="E36" s="2" t="s">
        <v>552</v>
      </c>
      <c r="F36" s="2" t="s">
        <v>552</v>
      </c>
      <c r="G36" s="2" t="s">
        <v>1231</v>
      </c>
      <c r="H36" s="2" t="s">
        <v>1230</v>
      </c>
      <c r="I36" s="2" t="s">
        <v>1229</v>
      </c>
      <c r="J36" s="2"/>
      <c r="K36" s="2"/>
      <c r="L36" s="2"/>
      <c r="M36" s="3">
        <v>549</v>
      </c>
    </row>
    <row r="37" spans="1:13" x14ac:dyDescent="0.35">
      <c r="A37" s="2"/>
      <c r="B37" s="2"/>
      <c r="C37" s="2" t="s">
        <v>591</v>
      </c>
      <c r="D37" s="2" t="s">
        <v>22</v>
      </c>
      <c r="E37" s="2"/>
      <c r="F37" s="2"/>
      <c r="G37" s="2"/>
      <c r="H37" s="2"/>
      <c r="I37" s="2"/>
      <c r="J37" s="2"/>
      <c r="K37" s="2"/>
      <c r="L37" s="2"/>
      <c r="M37" s="3">
        <v>1</v>
      </c>
    </row>
    <row r="38" spans="1:13" x14ac:dyDescent="0.35">
      <c r="A38" s="2"/>
      <c r="B38" s="2"/>
      <c r="C38" s="2" t="s">
        <v>558</v>
      </c>
      <c r="D38" s="2" t="s">
        <v>22</v>
      </c>
      <c r="E38" s="2"/>
      <c r="F38" s="2"/>
      <c r="G38" s="2"/>
      <c r="H38" s="2"/>
      <c r="I38" s="2"/>
      <c r="J38" s="2"/>
      <c r="K38" s="2"/>
      <c r="L38" s="2"/>
      <c r="M38" s="3">
        <v>1</v>
      </c>
    </row>
  </sheetData>
  <mergeCells count="6">
    <mergeCell ref="A6:M6"/>
    <mergeCell ref="A1:M1"/>
    <mergeCell ref="A2:M2"/>
    <mergeCell ref="A3:M3"/>
    <mergeCell ref="A4:M4"/>
    <mergeCell ref="A5:M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Audit Report</vt:lpstr>
      <vt:lpstr>pampers-fr_fr</vt:lpstr>
      <vt:lpstr>pampers-en_gb</vt:lpstr>
      <vt:lpstr>pampers-en_us</vt:lpstr>
      <vt:lpstr>pgdodotspain</vt:lpstr>
      <vt:lpstr>pampers-ja_jp</vt:lpstr>
      <vt:lpstr>pampers-de_de</vt:lpstr>
      <vt:lpstr>pampers-es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Infant Sachin</dc:creator>
  <cp:lastModifiedBy>Yeshwanth Ireddy</cp:lastModifiedBy>
  <dcterms:created xsi:type="dcterms:W3CDTF">2026-08-12T10:11:32Z</dcterms:created>
  <dcterms:modified xsi:type="dcterms:W3CDTF">2026-08-17T06:11:22Z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bc222b0-be48-475a-a633-57795de0c62e_Enabled">
    <vt:lpwstr>true</vt:lpwstr>
  </property>
  <property fmtid="{D5CDD505-2E9C-101B-9397-08002B2CF9AE}" pid="3" name="MSIP_Label_4bc222b0-be48-475a-a633-57795de0c62e_SetDate">
    <vt:lpwstr>2026-08-12T10:43:32Z</vt:lpwstr>
  </property>
  <property fmtid="{D5CDD505-2E9C-101B-9397-08002B2CF9AE}" pid="4" name="MSIP_Label_4bc222b0-be48-475a-a633-57795de0c62e_Method">
    <vt:lpwstr>Privileged</vt:lpwstr>
  </property>
  <property fmtid="{D5CDD505-2E9C-101B-9397-08002B2CF9AE}" pid="5" name="MSIP_Label_4bc222b0-be48-475a-a633-57795de0c62e_Name">
    <vt:lpwstr>Public</vt:lpwstr>
  </property>
  <property fmtid="{D5CDD505-2E9C-101B-9397-08002B2CF9AE}" pid="6" name="MSIP_Label_4bc222b0-be48-475a-a633-57795de0c62e_SiteId">
    <vt:lpwstr>ff355289-721e-4dd7-a663-afec62ab9d54</vt:lpwstr>
  </property>
  <property fmtid="{D5CDD505-2E9C-101B-9397-08002B2CF9AE}" pid="7" name="MSIP_Label_4bc222b0-be48-475a-a633-57795de0c62e_ActionId">
    <vt:lpwstr>a1145cd9-2770-453f-bb82-699543560d87</vt:lpwstr>
  </property>
  <property fmtid="{D5CDD505-2E9C-101B-9397-08002B2CF9AE}" pid="8" name="MSIP_Label_4bc222b0-be48-475a-a633-57795de0c62e_ContentBits">
    <vt:lpwstr>0</vt:lpwstr>
  </property>
  <property fmtid="{D5CDD505-2E9C-101B-9397-08002B2CF9AE}" pid="9" name="MSIP_Label_4bc222b0-be48-475a-a633-57795de0c62e_Tag">
    <vt:lpwstr>10, 0, 1, 1</vt:lpwstr>
  </property>
</Properties>
</file>